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ivotCache/pivotCacheRecords1.xml" ContentType="application/vnd.openxmlformats-officedocument.spreadsheetml.pivotCacheRecord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g89420\Documents\ProjectDashboard\"/>
    </mc:Choice>
  </mc:AlternateContent>
  <xr:revisionPtr revIDLastSave="0" documentId="13_ncr:1_{26A3E8E9-497B-4723-A512-02E6C7AAF622}" xr6:coauthVersionLast="47" xr6:coauthVersionMax="47" xr10:uidLastSave="{00000000-0000-0000-0000-000000000000}"/>
  <bookViews>
    <workbookView showSheetTabs="0" xWindow="-120" yWindow="315" windowWidth="29040" windowHeight="15285" xr2:uid="{A6F20EF5-02B3-4FFF-AB50-ECCDC6ACA015}"/>
  </bookViews>
  <sheets>
    <sheet name="Dashboard" sheetId="1" r:id="rId1"/>
    <sheet name="Projects" sheetId="2" r:id="rId2"/>
    <sheet name="Timeline" sheetId="3" r:id="rId3"/>
    <sheet name="PivotData" sheetId="4" state="hidden" r:id="rId4"/>
    <sheet name="Lists" sheetId="5" state="hidden" r:id="rId5"/>
  </sheets>
  <definedNames>
    <definedName name="lst_Category">OFFSET(Lists!$E$2,0,0,MAX(1,COUNTA(Lists!$E:$E)-1),1)</definedName>
    <definedName name="lst_DeploymentStatus">OFFSET(Lists!$F$2,0,0,MAX(1,COUNTA(Lists!$F:$F)-1),1)</definedName>
    <definedName name="lst_LOB">OFFSET(Lists!$B$2,0,0,MAX(1,COUNTA(Lists!$B:$B)-1),1)</definedName>
    <definedName name="lst_POC">OFFSET(Lists!$A$2,0,0,MAX(1,COUNTA(Lists!$A:$A)-1),1)</definedName>
    <definedName name="lst_Priority">OFFSET(Lists!$D$2,0,0,MAX(1,COUNTA(Lists!$D:$D)-1),1)</definedName>
    <definedName name="lst_Status">OFFSET(Lists!$C$2,0,0,MAX(1,COUNTA(Lists!$C:$C)-1),1)</definedName>
    <definedName name="Slicer_Category">#N/A</definedName>
    <definedName name="Slicer_Health">#N/A</definedName>
    <definedName name="Slicer_LOB">#N/A</definedName>
    <definedName name="Slicer_POC">#N/A</definedName>
    <definedName name="Slicer_Priority">#N/A</definedName>
    <definedName name="Slicer_Status">#N/A</definedName>
    <definedName name="Timeline_StartDate">#N/A</definedName>
  </definedNames>
  <calcPr calcId="191029"/>
  <pivotCaches>
    <pivotCache cacheId="76"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N13" i="2" l="1"/>
  <c r="O13" i="2"/>
  <c r="P13" i="2"/>
  <c r="S13" i="2" s="1"/>
  <c r="Q13" i="2"/>
  <c r="R13" i="2"/>
  <c r="T13" i="2"/>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C8" i="3"/>
  <c r="C9" i="3"/>
  <c r="C10" i="3"/>
  <c r="I10" i="3" s="1"/>
  <c r="C11" i="3"/>
  <c r="C12" i="3"/>
  <c r="I12" i="3" s="1"/>
  <c r="C13" i="3"/>
  <c r="I13" i="3" s="1"/>
  <c r="C14" i="3"/>
  <c r="I14" i="3" s="1"/>
  <c r="C15" i="3"/>
  <c r="C16" i="3"/>
  <c r="C17" i="3"/>
  <c r="C18" i="3"/>
  <c r="I18" i="3" s="1"/>
  <c r="C19" i="3"/>
  <c r="C20" i="3"/>
  <c r="I20" i="3" s="1"/>
  <c r="C21" i="3"/>
  <c r="I21" i="3" s="1"/>
  <c r="C22" i="3"/>
  <c r="I22" i="3" s="1"/>
  <c r="C23" i="3"/>
  <c r="C24" i="3"/>
  <c r="C25" i="3"/>
  <c r="C26" i="3"/>
  <c r="I26" i="3" s="1"/>
  <c r="C27" i="3"/>
  <c r="C28" i="3"/>
  <c r="I28" i="3" s="1"/>
  <c r="C29" i="3"/>
  <c r="I29" i="3" s="1"/>
  <c r="C30" i="3"/>
  <c r="I30" i="3" s="1"/>
  <c r="C31" i="3"/>
  <c r="C32" i="3"/>
  <c r="C33" i="3"/>
  <c r="C34" i="3"/>
  <c r="I34" i="3" s="1"/>
  <c r="C35" i="3"/>
  <c r="C36" i="3"/>
  <c r="I36" i="3" s="1"/>
  <c r="C37" i="3"/>
  <c r="I37" i="3" s="1"/>
  <c r="C38" i="3"/>
  <c r="I38" i="3" s="1"/>
  <c r="C39" i="3"/>
  <c r="C40" i="3"/>
  <c r="C41" i="3"/>
  <c r="C42" i="3"/>
  <c r="I42" i="3" s="1"/>
  <c r="C43" i="3"/>
  <c r="C44" i="3"/>
  <c r="I44" i="3" s="1"/>
  <c r="C45" i="3"/>
  <c r="I45" i="3" s="1"/>
  <c r="C46" i="3"/>
  <c r="I46" i="3" s="1"/>
  <c r="C47" i="3"/>
  <c r="C48" i="3"/>
  <c r="C49" i="3"/>
  <c r="C50" i="3"/>
  <c r="I50" i="3" s="1"/>
  <c r="C51" i="3"/>
  <c r="C52" i="3"/>
  <c r="I52" i="3" s="1"/>
  <c r="C53" i="3"/>
  <c r="I53" i="3" s="1"/>
  <c r="C54" i="3"/>
  <c r="I54" i="3" s="1"/>
  <c r="C55" i="3"/>
  <c r="C56" i="3"/>
  <c r="C57" i="3"/>
  <c r="C58" i="3"/>
  <c r="I58" i="3" s="1"/>
  <c r="C59" i="3"/>
  <c r="C60" i="3"/>
  <c r="I60" i="3" s="1"/>
  <c r="C61" i="3"/>
  <c r="I61" i="3" s="1"/>
  <c r="C62" i="3"/>
  <c r="I62" i="3" s="1"/>
  <c r="C63" i="3"/>
  <c r="C64" i="3"/>
  <c r="C65" i="3"/>
  <c r="C66" i="3"/>
  <c r="I66" i="3" s="1"/>
  <c r="C67" i="3"/>
  <c r="C68" i="3"/>
  <c r="I68" i="3" s="1"/>
  <c r="C69" i="3"/>
  <c r="I69" i="3" s="1"/>
  <c r="C70" i="3"/>
  <c r="I70" i="3" s="1"/>
  <c r="C71" i="3"/>
  <c r="C72" i="3"/>
  <c r="C73" i="3"/>
  <c r="C74" i="3"/>
  <c r="I74" i="3" s="1"/>
  <c r="C75" i="3"/>
  <c r="C76" i="3"/>
  <c r="I76" i="3" s="1"/>
  <c r="C77" i="3"/>
  <c r="I77" i="3" s="1"/>
  <c r="C78" i="3"/>
  <c r="I78" i="3" s="1"/>
  <c r="C79" i="3"/>
  <c r="C80" i="3"/>
  <c r="C81" i="3"/>
  <c r="C82" i="3"/>
  <c r="I82" i="3" s="1"/>
  <c r="C83" i="3"/>
  <c r="C84" i="3"/>
  <c r="I84" i="3" s="1"/>
  <c r="C85" i="3"/>
  <c r="I85" i="3" s="1"/>
  <c r="C86" i="3"/>
  <c r="I86" i="3" s="1"/>
  <c r="C87" i="3"/>
  <c r="C88" i="3"/>
  <c r="C89" i="3"/>
  <c r="C90" i="3"/>
  <c r="I90" i="3" s="1"/>
  <c r="C91" i="3"/>
  <c r="C92" i="3"/>
  <c r="I92" i="3" s="1"/>
  <c r="C93" i="3"/>
  <c r="I93" i="3" s="1"/>
  <c r="C94" i="3"/>
  <c r="I94" i="3" s="1"/>
  <c r="C95" i="3"/>
  <c r="C96" i="3"/>
  <c r="C97" i="3"/>
  <c r="C98" i="3"/>
  <c r="I98" i="3" s="1"/>
  <c r="C99" i="3"/>
  <c r="C100" i="3"/>
  <c r="I100" i="3" s="1"/>
  <c r="C101" i="3"/>
  <c r="I101" i="3" s="1"/>
  <c r="C102" i="3"/>
  <c r="I102" i="3" s="1"/>
  <c r="C103" i="3"/>
  <c r="C104" i="3"/>
  <c r="C105" i="3"/>
  <c r="C106" i="3"/>
  <c r="I106" i="3" s="1"/>
  <c r="C107" i="3"/>
  <c r="D4" i="3"/>
  <c r="J7" i="3" s="1"/>
  <c r="J6" i="3" s="1"/>
  <c r="B2" i="1"/>
  <c r="T4" i="2"/>
  <c r="T5" i="2"/>
  <c r="T6" i="2"/>
  <c r="T7" i="2"/>
  <c r="T8" i="2"/>
  <c r="T9" i="2"/>
  <c r="T10" i="2"/>
  <c r="T11" i="2"/>
  <c r="T12" i="2"/>
  <c r="R4" i="2"/>
  <c r="R5" i="2"/>
  <c r="R6" i="2"/>
  <c r="R7" i="2"/>
  <c r="R8" i="2"/>
  <c r="R9" i="2"/>
  <c r="R10" i="2"/>
  <c r="R11" i="2"/>
  <c r="R12" i="2"/>
  <c r="Q4" i="2"/>
  <c r="Q5" i="2"/>
  <c r="Q6" i="2"/>
  <c r="Q7" i="2"/>
  <c r="Q8" i="2"/>
  <c r="Q9" i="2"/>
  <c r="Q10" i="2"/>
  <c r="Q11" i="2"/>
  <c r="Q12" i="2"/>
  <c r="P4" i="2"/>
  <c r="S4" i="2" s="1"/>
  <c r="P5" i="2"/>
  <c r="S5" i="2" s="1"/>
  <c r="P6" i="2"/>
  <c r="S6" i="2" s="1"/>
  <c r="P7" i="2"/>
  <c r="S7" i="2" s="1"/>
  <c r="P8" i="2"/>
  <c r="S8" i="2" s="1"/>
  <c r="P9" i="2"/>
  <c r="S9" i="2" s="1"/>
  <c r="P10" i="2"/>
  <c r="S10" i="2" s="1"/>
  <c r="P11" i="2"/>
  <c r="S11" i="2" s="1"/>
  <c r="P12" i="2"/>
  <c r="S12" i="2" s="1"/>
  <c r="O4" i="2"/>
  <c r="O5" i="2"/>
  <c r="O6" i="2"/>
  <c r="O7" i="2"/>
  <c r="O8" i="2"/>
  <c r="O9" i="2"/>
  <c r="O10" i="2"/>
  <c r="O11" i="2"/>
  <c r="O12" i="2"/>
  <c r="N4" i="2"/>
  <c r="N5" i="2"/>
  <c r="N6" i="2"/>
  <c r="N7" i="2"/>
  <c r="N8" i="2"/>
  <c r="N9" i="2"/>
  <c r="N10" i="2"/>
  <c r="N11" i="2"/>
  <c r="N12" i="2"/>
  <c r="B25" i="4"/>
  <c r="B20" i="4"/>
  <c r="B24" i="4"/>
  <c r="B22" i="4"/>
  <c r="B23" i="4"/>
  <c r="B21" i="4"/>
  <c r="I103" i="3" l="1"/>
  <c r="I95" i="3"/>
  <c r="I87" i="3"/>
  <c r="I79" i="3"/>
  <c r="I71" i="3"/>
  <c r="I55" i="3"/>
  <c r="I47" i="3"/>
  <c r="I39" i="3"/>
  <c r="I31" i="3"/>
  <c r="I23" i="3"/>
  <c r="I15" i="3"/>
  <c r="I99" i="3"/>
  <c r="I67" i="3"/>
  <c r="I51" i="3"/>
  <c r="I27" i="3"/>
  <c r="I107" i="3"/>
  <c r="I91" i="3"/>
  <c r="I75" i="3"/>
  <c r="I43" i="3"/>
  <c r="I11" i="3"/>
  <c r="I83" i="3"/>
  <c r="I59" i="3"/>
  <c r="I35" i="3"/>
  <c r="I19" i="3"/>
  <c r="I104" i="3"/>
  <c r="I96" i="3"/>
  <c r="I88" i="3"/>
  <c r="I80" i="3"/>
  <c r="I72" i="3"/>
  <c r="I64" i="3"/>
  <c r="I56" i="3"/>
  <c r="I48" i="3"/>
  <c r="I40" i="3"/>
  <c r="I32" i="3"/>
  <c r="I24" i="3"/>
  <c r="I16" i="3"/>
  <c r="I8" i="3"/>
  <c r="I63" i="3"/>
  <c r="I105" i="3"/>
  <c r="I97" i="3"/>
  <c r="I89" i="3"/>
  <c r="I81" i="3"/>
  <c r="I73" i="3"/>
  <c r="I65" i="3"/>
  <c r="I57" i="3"/>
  <c r="I49" i="3"/>
  <c r="I41" i="3"/>
  <c r="I33" i="3"/>
  <c r="I25" i="3"/>
  <c r="I17" i="3"/>
  <c r="I9" i="3"/>
  <c r="G25" i="4"/>
  <c r="C24" i="4"/>
  <c r="D24" i="4" s="1"/>
  <c r="G24" i="4"/>
  <c r="C25" i="4"/>
  <c r="D25" i="4" s="1"/>
  <c r="K7" i="3"/>
  <c r="L7" i="3" s="1"/>
  <c r="M7" i="3" s="1"/>
  <c r="N7" i="3" s="1"/>
  <c r="O7" i="3" s="1"/>
  <c r="P7" i="3" s="1"/>
  <c r="Q7" i="3" s="1"/>
  <c r="R7" i="3" l="1"/>
  <c r="S7" i="3" s="1"/>
  <c r="T7" i="3" s="1"/>
  <c r="U7" i="3" s="1"/>
  <c r="V7" i="3" s="1"/>
  <c r="W7" i="3" s="1"/>
  <c r="X7" i="3" s="1"/>
  <c r="Q6" i="3"/>
  <c r="X6" i="3" l="1"/>
  <c r="Y7" i="3"/>
  <c r="Z7" i="3" s="1"/>
  <c r="AA7" i="3" s="1"/>
  <c r="AB7" i="3" s="1"/>
  <c r="AC7" i="3" s="1"/>
  <c r="AD7" i="3" s="1"/>
  <c r="AE7" i="3" s="1"/>
  <c r="AE6" i="3" l="1"/>
  <c r="AF7" i="3"/>
  <c r="AG7" i="3" s="1"/>
  <c r="AH7" i="3" s="1"/>
  <c r="AI7" i="3" s="1"/>
  <c r="AJ7" i="3" s="1"/>
  <c r="AK7" i="3" s="1"/>
  <c r="AL7" i="3" s="1"/>
  <c r="AL6" i="3" l="1"/>
  <c r="AM7" i="3"/>
  <c r="AN7" i="3" s="1"/>
  <c r="AO7" i="3" s="1"/>
  <c r="AP7" i="3" s="1"/>
  <c r="AQ7" i="3" s="1"/>
  <c r="AR7" i="3" s="1"/>
  <c r="AS7" i="3" s="1"/>
  <c r="AT7" i="3" l="1"/>
  <c r="AU7" i="3" s="1"/>
  <c r="AV7" i="3" s="1"/>
  <c r="AW7" i="3" s="1"/>
  <c r="AX7" i="3" s="1"/>
  <c r="AY7" i="3" s="1"/>
  <c r="AZ7" i="3" s="1"/>
  <c r="AS6" i="3"/>
  <c r="BA7" i="3" l="1"/>
  <c r="BB7" i="3" s="1"/>
  <c r="BC7" i="3" s="1"/>
  <c r="BD7" i="3" s="1"/>
  <c r="BE7" i="3" s="1"/>
  <c r="BF7" i="3" s="1"/>
  <c r="BG7" i="3" s="1"/>
  <c r="AZ6" i="3"/>
  <c r="BG6" i="3" l="1"/>
  <c r="BH7" i="3"/>
  <c r="BI7" i="3" s="1"/>
  <c r="BJ7" i="3" s="1"/>
  <c r="BK7" i="3" s="1"/>
  <c r="BL7" i="3" s="1"/>
  <c r="BM7" i="3" s="1"/>
  <c r="BN7" i="3" s="1"/>
  <c r="BN6" i="3" l="1"/>
  <c r="BO7" i="3"/>
  <c r="BP7" i="3" s="1"/>
  <c r="BQ7" i="3" s="1"/>
  <c r="BR7" i="3" s="1"/>
  <c r="BS7" i="3" s="1"/>
  <c r="BT7" i="3" s="1"/>
  <c r="BU7" i="3" s="1"/>
  <c r="BV7" i="3" l="1"/>
  <c r="BW7" i="3" s="1"/>
  <c r="BX7" i="3" s="1"/>
  <c r="BY7" i="3" s="1"/>
  <c r="BZ7" i="3" s="1"/>
  <c r="CA7" i="3" s="1"/>
  <c r="CB7" i="3" s="1"/>
  <c r="BU6" i="3"/>
  <c r="CB6" i="3" l="1"/>
  <c r="CC7" i="3"/>
  <c r="CD7" i="3" s="1"/>
  <c r="CE7" i="3" s="1"/>
  <c r="CF7" i="3" s="1"/>
  <c r="CG7" i="3" s="1"/>
  <c r="CH7" i="3" s="1"/>
  <c r="CI7" i="3" s="1"/>
  <c r="CI6" i="3" l="1"/>
  <c r="CJ7" i="3"/>
  <c r="CK7" i="3" s="1"/>
  <c r="CL7" i="3" s="1"/>
  <c r="CM7" i="3" s="1"/>
  <c r="CN7" i="3" s="1"/>
  <c r="CO7" i="3" s="1"/>
  <c r="CP7" i="3" s="1"/>
  <c r="CP6" i="3" l="1"/>
  <c r="CQ7" i="3"/>
  <c r="CR7" i="3" s="1"/>
  <c r="CS7" i="3" s="1"/>
  <c r="CT7" i="3" s="1"/>
  <c r="CU7" i="3" s="1"/>
  <c r="CV7" i="3" s="1"/>
</calcChain>
</file>

<file path=xl/sharedStrings.xml><?xml version="1.0" encoding="utf-8"?>
<sst xmlns="http://schemas.openxmlformats.org/spreadsheetml/2006/main" count="203" uniqueCount="100">
  <si>
    <t>Project Consolidation - Master List</t>
  </si>
  <si>
    <t>To add a project, type in the first empty row below the table (grey columns fill in automatically), then click Data &gt; Refresh All to update the Dashboard.</t>
  </si>
  <si>
    <t>Project Name</t>
  </si>
  <si>
    <t>POC</t>
  </si>
  <si>
    <t>Developer</t>
  </si>
  <si>
    <t>LOB</t>
  </si>
  <si>
    <t>Status</t>
  </si>
  <si>
    <t>Priority</t>
  </si>
  <si>
    <t>Category</t>
  </si>
  <si>
    <t>Start Date</t>
  </si>
  <si>
    <t>Due Date</t>
  </si>
  <si>
    <t>Deployment Status</t>
  </si>
  <si>
    <t>Progress</t>
  </si>
  <si>
    <t>Link</t>
  </si>
  <si>
    <t>NTE and NOD tracker</t>
  </si>
  <si>
    <t>John Ryan Ariola</t>
  </si>
  <si>
    <t>Shine Abdulhalik, Junie Ann Martinez, Pope Tuazon</t>
  </si>
  <si>
    <t>Payment Integrity</t>
  </si>
  <si>
    <t>Completed</t>
  </si>
  <si>
    <t>High</t>
  </si>
  <si>
    <t>Management Tool</t>
  </si>
  <si>
    <t>Not Yet Started</t>
  </si>
  <si>
    <t>VANGUARD - Power Apps</t>
  </si>
  <si>
    <t>Attendance (with PTO request) tracker</t>
  </si>
  <si>
    <t>Charlon Calugay</t>
  </si>
  <si>
    <t>Justin Umali, Charmaine San Juan</t>
  </si>
  <si>
    <t>Workforce Management</t>
  </si>
  <si>
    <t>Tempus - Power Apps</t>
  </si>
  <si>
    <t>Payment Integrity - Pends Review</t>
  </si>
  <si>
    <t>Shine Abdulhalik, Charlon Calugay</t>
  </si>
  <si>
    <t>Ongoing</t>
  </si>
  <si>
    <t>Medium</t>
  </si>
  <si>
    <t>Ageing Management</t>
  </si>
  <si>
    <t>APEX - Power Apps</t>
  </si>
  <si>
    <t>OPIDs Review</t>
  </si>
  <si>
    <t>Justin Umali</t>
  </si>
  <si>
    <t>Justin Umali, Melody Lapena</t>
  </si>
  <si>
    <t>Dispute Intake</t>
  </si>
  <si>
    <t>Automation</t>
  </si>
  <si>
    <t>Genpro</t>
  </si>
  <si>
    <t>Pope Tuazon</t>
  </si>
  <si>
    <t>Pope Tuazon, Justin Umali</t>
  </si>
  <si>
    <t>Process Improvement</t>
  </si>
  <si>
    <t>Submitted</t>
  </si>
  <si>
    <t>Employee Dashboard</t>
  </si>
  <si>
    <t>New Ansir Apps for NonCOB</t>
  </si>
  <si>
    <t>Shine Abdulhalik</t>
  </si>
  <si>
    <t>Non-COB</t>
  </si>
  <si>
    <t>Ansir Calculator for NonCOB</t>
  </si>
  <si>
    <t>Junie Ann Martinez</t>
  </si>
  <si>
    <t>RootCauseAnalysis</t>
  </si>
  <si>
    <t>Duration (Days)</t>
  </si>
  <si>
    <t>Days Left</t>
  </si>
  <si>
    <t>Health</t>
  </si>
  <si>
    <t>Is Completed</t>
  </si>
  <si>
    <t>Is Ongoing</t>
  </si>
  <si>
    <t>Is Overdue</t>
  </si>
  <si>
    <t>Due (Sort)</t>
  </si>
  <si>
    <t>Total Projects</t>
  </si>
  <si>
    <t>Completed Count</t>
  </si>
  <si>
    <t>Ongoing Count</t>
  </si>
  <si>
    <t>Overdue Count</t>
  </si>
  <si>
    <t>Avg Progress</t>
  </si>
  <si>
    <t>Row Labels</t>
  </si>
  <si>
    <t>Overdue</t>
  </si>
  <si>
    <t>Grand Total</t>
  </si>
  <si>
    <t>Projects</t>
  </si>
  <si>
    <t xml:space="preserve">Avg Progress </t>
  </si>
  <si>
    <t>Column Labels</t>
  </si>
  <si>
    <t>Project Consolidation Dashboard</t>
  </si>
  <si>
    <t>KPI values (linked to Dashboard cards)</t>
  </si>
  <si>
    <t>TOTAL PROJECTS</t>
  </si>
  <si>
    <t>COMPLETED</t>
  </si>
  <si>
    <t>ONGOING</t>
  </si>
  <si>
    <t>OVERDUE</t>
  </si>
  <si>
    <t>AVG PROGRESS</t>
  </si>
  <si>
    <t>COMPLETION RATE</t>
  </si>
  <si>
    <t>Project Timeline (Gantt)</t>
  </si>
  <si>
    <t>Search:</t>
  </si>
  <si>
    <t>Status:</t>
  </si>
  <si>
    <t>Timeline start:</t>
  </si>
  <si>
    <t>All</t>
  </si>
  <si>
    <t>&lt;- type project, POC, developer or LOB</t>
  </si>
  <si>
    <t>&lt;- override with any date to scroll the chart</t>
  </si>
  <si>
    <t>Done</t>
  </si>
  <si>
    <t>Remaining</t>
  </si>
  <si>
    <t>Overdue slip</t>
  </si>
  <si>
    <t>Today</t>
  </si>
  <si>
    <t>Project</t>
  </si>
  <si>
    <t>Start</t>
  </si>
  <si>
    <t>Due</t>
  </si>
  <si>
    <t>Show</t>
  </si>
  <si>
    <t>Not Started</t>
  </si>
  <si>
    <t>On Hold</t>
  </si>
  <si>
    <t>Low</t>
  </si>
  <si>
    <t>In UAT</t>
  </si>
  <si>
    <t>Deployed</t>
  </si>
  <si>
    <t>Helper pivots for Dashboard - do not edit</t>
  </si>
  <si>
    <t>Rachel Costiniano</t>
  </si>
  <si>
    <t>Project axis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</si>
</sst>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Red]\-0"/>
    <numFmt numFmtId="165" formatCode="m/d/yy"/>
    <numFmt numFmtId="166" formatCode="d"/>
  </numFmts>
  <fonts count="15" x14ac:knownFonts="1">
    <font>
      <sz val="11"/>
      <color theme="1"/>
      <name val="Aptos Narrow"/>
      <family val="2"/>
      <scheme val="minor"/>
    </font>
    <font>
      <b/>
      <sz val="11"/>
      <color theme="1"/>
      <name val="Aptos Narrow"/>
      <family val="2"/>
      <scheme val="minor"/>
    </font>
    <font>
      <b/>
      <sz val="16"/>
      <color rgb="FF2E2257"/>
      <name val="Aptos Narrow"/>
      <family val="2"/>
      <scheme val="minor"/>
    </font>
    <font>
      <i/>
      <sz val="11"/>
      <color rgb="FFA6A6A6"/>
      <name val="Aptos Narrow"/>
      <family val="2"/>
      <scheme val="minor"/>
    </font>
    <font>
      <sz val="11"/>
      <color rgb="FFFFFFFF"/>
      <name val="Aptos Narrow"/>
      <family val="2"/>
      <scheme val="minor"/>
    </font>
    <font>
      <sz val="11"/>
      <color rgb="FF5E5480"/>
      <name val="Aptos Narrow"/>
      <family val="2"/>
      <scheme val="minor"/>
    </font>
    <font>
      <sz val="10"/>
      <color theme="1"/>
      <name val="Segoe UI"/>
      <family val="2"/>
    </font>
    <font>
      <sz val="10"/>
      <color rgb="FF2E2257"/>
      <name val="Segoe UI"/>
      <family val="2"/>
    </font>
    <font>
      <b/>
      <sz val="20"/>
      <color rgb="FF2E2257"/>
      <name val="Segoe UI"/>
      <family val="2"/>
    </font>
    <font>
      <sz val="9"/>
      <color rgb="FF2E2257"/>
      <name val="Segoe UI"/>
      <family val="2"/>
    </font>
    <font>
      <sz val="9"/>
      <color theme="1"/>
      <name val="Segoe UI"/>
      <family val="2"/>
    </font>
    <font>
      <b/>
      <sz val="16"/>
      <color rgb="FF2E2257"/>
      <name val="Segoe UI"/>
      <family val="2"/>
    </font>
    <font>
      <b/>
      <sz val="9"/>
      <color theme="1"/>
      <name val="Segoe UI"/>
      <family val="2"/>
    </font>
    <font>
      <i/>
      <sz val="9"/>
      <color rgb="FFA6A6A6"/>
      <name val="Segoe UI"/>
      <family val="2"/>
    </font>
    <font>
      <b/>
      <sz val="9"/>
      <color rgb="FF2E2257"/>
      <name val="Segoe UI"/>
      <family val="2"/>
    </font>
  </fonts>
  <fills count="11">
    <fill>
      <patternFill patternType="none"/>
    </fill>
    <fill>
      <patternFill patternType="gray125"/>
    </fill>
    <fill>
      <patternFill patternType="solid">
        <fgColor rgb="FFF1F2F4"/>
        <bgColor indexed="64"/>
      </patternFill>
    </fill>
    <fill>
      <patternFill patternType="solid">
        <fgColor rgb="FFC3BBFD"/>
        <bgColor indexed="64"/>
      </patternFill>
    </fill>
    <fill>
      <patternFill patternType="solid">
        <fgColor rgb="FFC693FF"/>
        <bgColor indexed="64"/>
      </patternFill>
    </fill>
    <fill>
      <patternFill patternType="solid">
        <fgColor rgb="FFA1DCF9"/>
        <bgColor indexed="64"/>
      </patternFill>
    </fill>
    <fill>
      <patternFill patternType="solid">
        <fgColor rgb="FFC5FFFF"/>
        <bgColor indexed="64"/>
      </patternFill>
    </fill>
    <fill>
      <patternFill patternType="solid">
        <fgColor rgb="FF7C3AED"/>
        <bgColor indexed="64"/>
      </patternFill>
    </fill>
    <fill>
      <patternFill patternType="solid">
        <fgColor rgb="FF7DD3FC"/>
        <bgColor indexed="64"/>
      </patternFill>
    </fill>
    <fill>
      <patternFill patternType="solid">
        <fgColor rgb="FFFDA4AF"/>
        <bgColor indexed="64"/>
      </patternFill>
    </fill>
    <fill>
      <patternFill patternType="solid">
        <fgColor rgb="FFFDE68A"/>
        <bgColor indexed="64"/>
      </patternFill>
    </fill>
  </fills>
  <borders count="6">
    <border>
      <left/>
      <right/>
      <top/>
      <bottom/>
      <diagonal/>
    </border>
    <border>
      <left/>
      <right style="thin">
        <color rgb="FFC693FF"/>
      </right>
      <top/>
      <bottom/>
      <diagonal/>
    </border>
    <border>
      <left style="thin">
        <color indexed="64"/>
      </left>
      <right style="thin">
        <color indexed="64"/>
      </right>
      <top style="thin">
        <color indexed="64"/>
      </top>
      <bottom style="thin">
        <color indexed="64"/>
      </bottom>
      <diagonal/>
    </border>
    <border>
      <left style="thin">
        <color rgb="FFBFBFBF"/>
      </left>
      <right/>
      <top/>
      <bottom/>
      <diagonal/>
    </border>
    <border>
      <left/>
      <right/>
      <top/>
      <bottom style="thin">
        <color rgb="FFD9D9D9"/>
      </bottom>
      <diagonal/>
    </border>
    <border>
      <left/>
      <right/>
      <top style="thin">
        <color rgb="FFD9D9D9"/>
      </top>
      <bottom style="thin">
        <color rgb="FFD9D9D9"/>
      </bottom>
      <diagonal/>
    </border>
  </borders>
  <cellStyleXfs count="1">
    <xf numFmtId="0" fontId="0" fillId="0" borderId="0"/>
  </cellStyleXfs>
  <cellXfs count="42">
    <xf numFmtId="0" fontId="0" fillId="0" borderId="0" xfId="0"/>
    <xf numFmtId="0" fontId="2" fillId="0" borderId="0" xfId="0" applyFont="1"/>
    <xf numFmtId="0" fontId="3" fillId="0" borderId="0" xfId="0" applyFont="1"/>
    <xf numFmtId="14" fontId="0" fillId="0" borderId="0" xfId="0" applyNumberFormat="1"/>
    <xf numFmtId="0" fontId="4" fillId="0" borderId="0" xfId="0" applyFont="1"/>
    <xf numFmtId="14" fontId="4" fillId="0" borderId="0" xfId="0" applyNumberFormat="1" applyFont="1"/>
    <xf numFmtId="9" fontId="0" fillId="0" borderId="0" xfId="0" applyNumberFormat="1"/>
    <xf numFmtId="0" fontId="5" fillId="2" borderId="0" xfId="0" applyFont="1" applyFill="1"/>
    <xf numFmtId="164" fontId="5" fillId="2" borderId="0" xfId="0" applyNumberFormat="1" applyFont="1" applyFill="1"/>
    <xf numFmtId="0" fontId="0" fillId="3" borderId="1" xfId="0" applyFill="1" applyBorder="1"/>
    <xf numFmtId="0" fontId="0" fillId="0" borderId="0" xfId="0" pivotButton="1"/>
    <xf numFmtId="0" fontId="0" fillId="0" borderId="0" xfId="0" applyAlignment="1">
      <alignment horizontal="left"/>
    </xf>
    <xf numFmtId="0" fontId="6" fillId="0" borderId="0" xfId="0" applyFont="1"/>
    <xf numFmtId="0" fontId="6" fillId="3" borderId="1" xfId="0" applyFont="1" applyFill="1" applyBorder="1"/>
    <xf numFmtId="0" fontId="7" fillId="4" borderId="0" xfId="0" applyFont="1" applyFill="1"/>
    <xf numFmtId="0" fontId="6" fillId="5" borderId="0" xfId="0" applyFont="1" applyFill="1"/>
    <xf numFmtId="0" fontId="8" fillId="4" borderId="0" xfId="0" applyFont="1" applyFill="1" applyAlignment="1">
      <alignment horizontal="left" indent="1"/>
    </xf>
    <xf numFmtId="0" fontId="9" fillId="4" borderId="0" xfId="0" applyFont="1" applyFill="1" applyAlignment="1">
      <alignment horizontal="left" vertical="top" indent="1"/>
    </xf>
    <xf numFmtId="1" fontId="0" fillId="0" borderId="0" xfId="0" applyNumberFormat="1"/>
    <xf numFmtId="0" fontId="10" fillId="0" borderId="0" xfId="0" applyFont="1"/>
    <xf numFmtId="0" fontId="11" fillId="0" borderId="0" xfId="0" applyFont="1"/>
    <xf numFmtId="0" fontId="12" fillId="0" borderId="0" xfId="0" applyFont="1" applyAlignment="1">
      <alignment horizontal="right"/>
    </xf>
    <xf numFmtId="0" fontId="10" fillId="6" borderId="2" xfId="0" applyFont="1" applyFill="1" applyBorder="1"/>
    <xf numFmtId="14" fontId="10" fillId="6" borderId="2" xfId="0" applyNumberFormat="1" applyFont="1" applyFill="1" applyBorder="1"/>
    <xf numFmtId="0" fontId="13" fillId="0" borderId="0" xfId="0" applyFont="1"/>
    <xf numFmtId="0" fontId="10" fillId="7" borderId="0" xfId="0" applyFont="1" applyFill="1"/>
    <xf numFmtId="0" fontId="10" fillId="8" borderId="0" xfId="0" applyFont="1" applyFill="1"/>
    <xf numFmtId="0" fontId="10" fillId="9" borderId="0" xfId="0" applyFont="1" applyFill="1"/>
    <xf numFmtId="0" fontId="10" fillId="10" borderId="0" xfId="0" applyFont="1" applyFill="1"/>
    <xf numFmtId="0" fontId="14" fillId="3" borderId="0" xfId="0" applyFont="1" applyFill="1"/>
    <xf numFmtId="166" fontId="14" fillId="3" borderId="0" xfId="0" applyNumberFormat="1" applyFont="1" applyFill="1" applyAlignment="1">
      <alignment horizontal="center"/>
    </xf>
    <xf numFmtId="0" fontId="10" fillId="0" borderId="4" xfId="0" applyFont="1" applyBorder="1"/>
    <xf numFmtId="165" fontId="10" fillId="0" borderId="4" xfId="0" applyNumberFormat="1" applyFont="1" applyBorder="1"/>
    <xf numFmtId="9" fontId="10" fillId="0" borderId="4" xfId="0" applyNumberFormat="1" applyFont="1" applyBorder="1"/>
    <xf numFmtId="0" fontId="10" fillId="0" borderId="5" xfId="0" applyFont="1" applyBorder="1"/>
    <xf numFmtId="165" fontId="10" fillId="0" borderId="5" xfId="0" applyNumberFormat="1" applyFont="1" applyBorder="1"/>
    <xf numFmtId="9" fontId="10" fillId="0" borderId="5" xfId="0" applyNumberFormat="1" applyFont="1" applyBorder="1"/>
    <xf numFmtId="0" fontId="10" fillId="3" borderId="1" xfId="0" applyFont="1" applyFill="1" applyBorder="1"/>
    <xf numFmtId="0" fontId="1" fillId="0" borderId="0" xfId="0" applyFont="1"/>
    <xf numFmtId="0" fontId="12" fillId="0" borderId="3" xfId="0" applyFont="1" applyBorder="1" applyAlignment="1">
      <alignment horizontal="left"/>
    </xf>
    <xf numFmtId="0" fontId="12" fillId="0" borderId="0" xfId="0" applyFont="1" applyAlignment="1">
      <alignment horizontal="left"/>
    </xf>
    <xf numFmtId="0" fontId="0" fillId="0" borderId="0" xfId="0" applyNumberFormat="1"/>
  </cellXfs>
  <cellStyles count="1">
    <cellStyle name="Normal" xfId="0" builtinId="0"/>
  </cellStyles>
  <dxfs count="33">
    <dxf>
      <font>
        <b/>
        <i val="0"/>
        <color rgb="FF075985"/>
      </font>
      <fill>
        <patternFill>
          <bgColor rgb="FFE0F2FE"/>
        </patternFill>
      </fill>
    </dxf>
    <dxf>
      <font>
        <b/>
        <i val="0"/>
        <color rgb="FF92400E"/>
      </font>
      <fill>
        <patternFill>
          <bgColor rgb="FFFEF3C7"/>
        </patternFill>
      </fill>
    </dxf>
    <dxf>
      <font>
        <b/>
        <i val="0"/>
        <color rgb="FF9F1239"/>
      </font>
      <fill>
        <patternFill>
          <bgColor rgb="FFFFE4E6"/>
        </patternFill>
      </fill>
    </dxf>
    <dxf>
      <font>
        <b/>
        <i val="0"/>
        <color rgb="FF065F46"/>
      </font>
      <fill>
        <patternFill>
          <bgColor rgb="FFD1FAE5"/>
        </patternFill>
      </fill>
    </dxf>
    <dxf>
      <font>
        <b/>
        <i val="0"/>
        <color rgb="FF9F1239"/>
      </font>
      <fill>
        <patternFill>
          <bgColor rgb="FFFFE4E6"/>
        </patternFill>
      </fill>
    </dxf>
    <dxf>
      <font>
        <b/>
        <i val="0"/>
        <color rgb="FF92400E"/>
      </font>
      <fill>
        <patternFill>
          <bgColor rgb="FFFEF3C7"/>
        </patternFill>
      </fill>
    </dxf>
    <dxf>
      <font>
        <b/>
        <i val="0"/>
        <color rgb="FF065F46"/>
      </font>
      <fill>
        <patternFill>
          <bgColor rgb="FFD1FAE5"/>
        </patternFill>
      </fill>
    </dxf>
    <dxf>
      <fill>
        <patternFill>
          <bgColor rgb="FFF2F2F2"/>
        </patternFill>
      </fill>
    </dxf>
    <dxf>
      <fill>
        <patternFill>
          <bgColor rgb="FFFDE68A"/>
        </patternFill>
      </fill>
    </dxf>
    <dxf>
      <fill>
        <patternFill>
          <bgColor rgb="FFFDA4AF"/>
        </patternFill>
      </fill>
    </dxf>
    <dxf>
      <fill>
        <patternFill>
          <bgColor rgb="FF7DD3FC"/>
        </patternFill>
      </fill>
    </dxf>
    <dxf>
      <fill>
        <patternFill>
          <bgColor rgb="FF7C3AED"/>
        </patternFill>
      </fill>
    </dxf>
    <dxf>
      <font>
        <b/>
        <i val="0"/>
        <color rgb="FF92400E"/>
      </font>
      <fill>
        <patternFill>
          <bgColor rgb="FFFEF3C7"/>
        </patternFill>
      </fill>
    </dxf>
    <dxf>
      <font>
        <b/>
        <i val="0"/>
        <color rgb="FF065F46"/>
      </font>
      <fill>
        <patternFill>
          <bgColor rgb="FFD1FAE5"/>
        </patternFill>
      </fill>
    </dxf>
    <dxf>
      <font>
        <color rgb="FFBFBFBF"/>
      </font>
    </dxf>
    <dxf>
      <font>
        <b/>
        <i val="0"/>
        <color rgb="FF075985"/>
      </font>
      <fill>
        <patternFill>
          <bgColor rgb="FFE0F2FE"/>
        </patternFill>
      </fill>
    </dxf>
    <dxf>
      <font>
        <b/>
        <i val="0"/>
        <color rgb="FF92400E"/>
      </font>
      <fill>
        <patternFill>
          <bgColor rgb="FFFEF3C7"/>
        </patternFill>
      </fill>
    </dxf>
    <dxf>
      <font>
        <b/>
        <i val="0"/>
        <color rgb="FF9F1239"/>
      </font>
      <fill>
        <patternFill>
          <bgColor rgb="FFFFE4E6"/>
        </patternFill>
      </fill>
    </dxf>
    <dxf>
      <font>
        <b/>
        <i val="0"/>
        <color rgb="FF065F46"/>
      </font>
      <fill>
        <patternFill>
          <bgColor rgb="FFD1FAE5"/>
        </patternFill>
      </fill>
    </dxf>
    <dxf>
      <font>
        <b/>
        <i val="0"/>
        <color rgb="FF9F1239"/>
      </font>
      <fill>
        <patternFill>
          <bgColor rgb="FFFFE4E6"/>
        </patternFill>
      </fill>
    </dxf>
    <dxf>
      <font>
        <b/>
        <i val="0"/>
        <color rgb="FF92400E"/>
      </font>
      <fill>
        <patternFill>
          <bgColor rgb="FFFEF3C7"/>
        </patternFill>
      </fill>
    </dxf>
    <dxf>
      <font>
        <b/>
        <i val="0"/>
        <color rgb="FF065F46"/>
      </font>
      <fill>
        <patternFill>
          <bgColor rgb="FFD1FAE5"/>
        </patternFill>
      </fill>
    </dxf>
    <dxf>
      <font>
        <color rgb="FF5E5480"/>
      </font>
      <fill>
        <patternFill patternType="solid">
          <fgColor indexed="64"/>
          <bgColor rgb="FFF1F2F4"/>
        </patternFill>
      </fill>
    </dxf>
    <dxf>
      <font>
        <color rgb="FF5E5480"/>
      </font>
      <fill>
        <patternFill patternType="solid">
          <fgColor indexed="64"/>
          <bgColor rgb="FFF1F2F4"/>
        </patternFill>
      </fill>
    </dxf>
    <dxf>
      <font>
        <color rgb="FF5E5480"/>
      </font>
      <fill>
        <patternFill patternType="solid">
          <fgColor indexed="64"/>
          <bgColor rgb="FFF1F2F4"/>
        </patternFill>
      </fill>
    </dxf>
    <dxf>
      <font>
        <color rgb="FF5E5480"/>
      </font>
      <fill>
        <patternFill patternType="solid">
          <fgColor indexed="64"/>
          <bgColor rgb="FFF1F2F4"/>
        </patternFill>
      </fill>
    </dxf>
    <dxf>
      <font>
        <color rgb="FF5E5480"/>
      </font>
      <fill>
        <patternFill patternType="solid">
          <fgColor indexed="64"/>
          <bgColor rgb="FFF1F2F4"/>
        </patternFill>
      </fill>
    </dxf>
    <dxf>
      <font>
        <color rgb="FF5E5480"/>
      </font>
      <numFmt numFmtId="164" formatCode="0;[Red]\-0"/>
      <fill>
        <patternFill patternType="solid">
          <fgColor indexed="64"/>
          <bgColor rgb="FFF1F2F4"/>
        </patternFill>
      </fill>
    </dxf>
    <dxf>
      <font>
        <color rgb="FF5E5480"/>
      </font>
      <fill>
        <patternFill patternType="solid">
          <fgColor indexed="64"/>
          <bgColor rgb="FFF1F2F4"/>
        </patternFill>
      </fill>
    </dxf>
    <dxf>
      <numFmt numFmtId="13" formatCode="0%"/>
    </dxf>
    <dxf>
      <numFmt numFmtId="19" formatCode="m/d/yyyy"/>
    </dxf>
    <dxf>
      <numFmt numFmtId="19" formatCode="m/d/yyyy"/>
    </dxf>
    <dxf>
      <font>
        <color rgb="FFFFFFFF"/>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1/relationships/timelineCache" Target="timelineCaches/timelineCache1.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7C3AED"/>
            </a:solidFill>
            <a:ln w="19050">
              <a:noFill/>
            </a:ln>
            <a:effectLst/>
            <a:extLst>
              <a:ext uri="{91240B29-F687-4F45-9708-019B960494DF}">
                <a14:hiddenLine xmlns:a14="http://schemas.microsoft.com/office/drawing/2010/main" w="19050">
                  <a:solidFill>
                    <a:sysClr val="window" lastClr="FFFFFF"/>
                  </a:solidFill>
                </a14:hiddenLine>
              </a:ext>
            </a:extLst>
          </c:spPr>
          <c:dPt>
            <c:idx val="0"/>
            <c:bubble3D val="0"/>
            <c:spPr>
              <a:solidFill>
                <a:srgbClr val="0EA5E9"/>
              </a:solidFill>
              <a:ln w="19050">
                <a:noFill/>
              </a:ln>
              <a:effectLst/>
              <a:extLst>
                <a:ext uri="{91240B29-F687-4F45-9708-019B960494DF}">
                  <a14:hiddenLine xmlns:a14="http://schemas.microsoft.com/office/drawing/2010/main" w="19050">
                    <a:solidFill>
                      <a:sysClr val="window" lastClr="FFFFFF"/>
                    </a:solidFill>
                  </a14:hiddenLine>
                </a:ext>
              </a:extLst>
            </c:spPr>
            <c:extLst>
              <c:ext xmlns:c16="http://schemas.microsoft.com/office/drawing/2014/chart" uri="{C3380CC4-5D6E-409C-BE32-E72D297353CC}">
                <c16:uniqueId val="{00000001-B995-46B6-873C-2C3139361D7E}"/>
              </c:ext>
            </c:extLst>
          </c:dPt>
          <c:dPt>
            <c:idx val="1"/>
            <c:bubble3D val="0"/>
            <c:spPr>
              <a:solidFill>
                <a:srgbClr val="ECE8FB"/>
              </a:solidFill>
              <a:ln w="19050">
                <a:noFill/>
              </a:ln>
              <a:effectLst/>
              <a:extLst>
                <a:ext uri="{91240B29-F687-4F45-9708-019B960494DF}">
                  <a14:hiddenLine xmlns:a14="http://schemas.microsoft.com/office/drawing/2010/main" w="19050">
                    <a:solidFill>
                      <a:sysClr val="window" lastClr="FFFFFF"/>
                    </a:solidFill>
                  </a14:hiddenLine>
                </a:ext>
              </a:extLst>
            </c:spPr>
            <c:extLst>
              <c:ext xmlns:c16="http://schemas.microsoft.com/office/drawing/2014/chart" uri="{C3380CC4-5D6E-409C-BE32-E72D297353CC}">
                <c16:uniqueId val="{00000002-B995-46B6-873C-2C3139361D7E}"/>
              </c:ext>
            </c:extLst>
          </c:dPt>
          <c:dPt>
            <c:idx val="2"/>
            <c:bubble3D val="0"/>
            <c:spPr>
              <a:noFill/>
              <a:ln w="19050">
                <a:noFill/>
              </a:ln>
              <a:effectLst/>
              <a:extLst>
                <a:ext uri="{909E8E84-426E-40DD-AFC4-6F175D3DCCD1}">
                  <a14:hiddenFill xmlns:a14="http://schemas.microsoft.com/office/drawing/2010/main">
                    <a:solidFill>
                      <a:srgbClr val="7C3AED"/>
                    </a:solidFill>
                  </a14:hiddenFill>
                </a:ext>
                <a:ext uri="{91240B29-F687-4F45-9708-019B960494DF}">
                  <a14:hiddenLine xmlns:a14="http://schemas.microsoft.com/office/drawing/2010/main" w="19050">
                    <a:solidFill>
                      <a:sysClr val="window" lastClr="FFFFFF"/>
                    </a:solidFill>
                  </a14:hiddenLine>
                </a:ext>
              </a:extLst>
            </c:spPr>
            <c:extLst>
              <c:ext xmlns:c16="http://schemas.microsoft.com/office/drawing/2014/chart" uri="{C3380CC4-5D6E-409C-BE32-E72D297353CC}">
                <c16:uniqueId val="{00000003-B995-46B6-873C-2C3139361D7E}"/>
              </c:ext>
            </c:extLst>
          </c:dPt>
          <c:val>
            <c:numRef>
              <c:f>PivotData!$C$24:$E$24</c:f>
              <c:numCache>
                <c:formatCode>General</c:formatCode>
                <c:ptCount val="3"/>
                <c:pt idx="0">
                  <c:v>0.64583333333333337</c:v>
                </c:pt>
                <c:pt idx="1">
                  <c:v>0.10416666666666663</c:v>
                </c:pt>
                <c:pt idx="2">
                  <c:v>0.25</c:v>
                </c:pt>
              </c:numCache>
            </c:numRef>
          </c:val>
          <c:extLst>
            <c:ext xmlns:c16="http://schemas.microsoft.com/office/drawing/2014/chart" uri="{C3380CC4-5D6E-409C-BE32-E72D297353CC}">
              <c16:uniqueId val="{00000000-B995-46B6-873C-2C3139361D7E}"/>
            </c:ext>
          </c:extLst>
        </c:ser>
        <c:dLbls>
          <c:showLegendKey val="0"/>
          <c:showVal val="0"/>
          <c:showCatName val="0"/>
          <c:showSerName val="0"/>
          <c:showPercent val="0"/>
          <c:showBubbleSize val="0"/>
          <c:showLeaderLines val="1"/>
        </c:dLbls>
        <c:firstSliceAng val="225"/>
        <c:holeSize val="68"/>
      </c:doughnutChart>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43181058752557E-2"/>
          <c:y val="0.42307692307692307"/>
          <c:w val="0.97068562178747009"/>
          <c:h val="0.46153846153846156"/>
        </c:manualLayout>
      </c:layout>
      <c:barChart>
        <c:barDir val="bar"/>
        <c:grouping val="percentStacked"/>
        <c:varyColors val="0"/>
        <c:ser>
          <c:idx val="0"/>
          <c:order val="0"/>
          <c:spPr>
            <a:solidFill>
              <a:srgbClr val="14B8A6"/>
            </a:solidFill>
            <a:ln>
              <a:noFill/>
            </a:ln>
            <a:effectLst/>
            <a:extLst>
              <a:ext uri="{91240B29-F687-4F45-9708-019B960494DF}">
                <a14:hiddenLine xmlns:a14="http://schemas.microsoft.com/office/drawing/2010/main">
                  <a:noFill/>
                </a14:hiddenLine>
              </a:ext>
            </a:extLst>
          </c:spPr>
          <c:invertIfNegative val="0"/>
          <c:val>
            <c:numRef>
              <c:f>PivotData!$C$25</c:f>
              <c:numCache>
                <c:formatCode>0%</c:formatCode>
                <c:ptCount val="1"/>
                <c:pt idx="0">
                  <c:v>0.44444444444444442</c:v>
                </c:pt>
              </c:numCache>
            </c:numRef>
          </c:val>
          <c:extLst>
            <c:ext xmlns:c16="http://schemas.microsoft.com/office/drawing/2014/chart" uri="{C3380CC4-5D6E-409C-BE32-E72D297353CC}">
              <c16:uniqueId val="{00000000-0A6C-4E2A-8CF2-BE988D67638C}"/>
            </c:ext>
          </c:extLst>
        </c:ser>
        <c:ser>
          <c:idx val="1"/>
          <c:order val="1"/>
          <c:spPr>
            <a:solidFill>
              <a:srgbClr val="ECE8FB"/>
            </a:solidFill>
            <a:ln>
              <a:noFill/>
            </a:ln>
            <a:effectLst/>
            <a:extLst>
              <a:ext uri="{91240B29-F687-4F45-9708-019B960494DF}">
                <a14:hiddenLine xmlns:a14="http://schemas.microsoft.com/office/drawing/2010/main">
                  <a:noFill/>
                </a14:hiddenLine>
              </a:ext>
            </a:extLst>
          </c:spPr>
          <c:invertIfNegative val="0"/>
          <c:val>
            <c:numRef>
              <c:f>PivotData!$D$25</c:f>
              <c:numCache>
                <c:formatCode>0%</c:formatCode>
                <c:ptCount val="1"/>
                <c:pt idx="0">
                  <c:v>0.55555555555555558</c:v>
                </c:pt>
              </c:numCache>
            </c:numRef>
          </c:val>
          <c:extLst>
            <c:ext xmlns:c16="http://schemas.microsoft.com/office/drawing/2014/chart" uri="{C3380CC4-5D6E-409C-BE32-E72D297353CC}">
              <c16:uniqueId val="{00000001-0A6C-4E2A-8CF2-BE988D67638C}"/>
            </c:ext>
          </c:extLst>
        </c:ser>
        <c:dLbls>
          <c:showLegendKey val="0"/>
          <c:showVal val="0"/>
          <c:showCatName val="0"/>
          <c:showSerName val="0"/>
          <c:showPercent val="0"/>
          <c:showBubbleSize val="0"/>
        </c:dLbls>
        <c:gapWidth val="0"/>
        <c:overlap val="100"/>
        <c:axId val="596614840"/>
        <c:axId val="596609440"/>
      </c:barChart>
      <c:catAx>
        <c:axId val="596614840"/>
        <c:scaling>
          <c:orientation val="minMax"/>
        </c:scaling>
        <c:delete val="1"/>
        <c:axPos val="l"/>
        <c:majorTickMark val="none"/>
        <c:minorTickMark val="none"/>
        <c:tickLblPos val="nextTo"/>
        <c:crossAx val="596609440"/>
        <c:crosses val="autoZero"/>
        <c:auto val="1"/>
        <c:lblAlgn val="ctr"/>
        <c:lblOffset val="100"/>
        <c:noMultiLvlLbl val="0"/>
      </c:catAx>
      <c:valAx>
        <c:axId val="596609440"/>
        <c:scaling>
          <c:orientation val="minMax"/>
        </c:scaling>
        <c:delete val="1"/>
        <c:axPos val="b"/>
        <c:numFmt formatCode="0%" sourceLinked="1"/>
        <c:majorTickMark val="none"/>
        <c:minorTickMark val="none"/>
        <c:tickLblPos val="nextTo"/>
        <c:crossAx val="596614840"/>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[Project_Consolidation_Dashboard.xlsx]PivotData!ptHealth</c:name>
    <c:fmtId val="0"/>
  </c:pivotSource>
  <c:chart>
    <c:title>
      <c:tx>
        <c:rich>
          <a:bodyPr rot="0" spcFirstLastPara="1" vertOverflow="ellipsis" vert="horz" wrap="square" anchor="ctr" anchorCtr="1"/>
          <a:lstStyle/>
          <a:p>
            <a:pPr>
              <a:defRPr sz="1200" b="1" i="0" u="none" strike="noStrike" kern="1200" spc="0" baseline="0">
                <a:solidFill>
                  <a:srgbClr val="2E2257"/>
                </a:solidFill>
                <a:latin typeface="+mn-lt"/>
                <a:ea typeface="+mn-ea"/>
                <a:cs typeface="+mn-cs"/>
              </a:defRPr>
            </a:pPr>
            <a:r>
              <a:rPr lang="en-US" sz="1200" b="1">
                <a:solidFill>
                  <a:srgbClr val="2E2257"/>
                </a:solidFill>
              </a:rPr>
              <a:t>Project Health</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2E2257"/>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PivotData!$J$3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23-44E9-AA48-FE966781F2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23-44E9-AA48-FE966781F2CE}"/>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PivotData!$I$4:$I$6</c:f>
              <c:strCache>
                <c:ptCount val="2"/>
                <c:pt idx="0">
                  <c:v>Completed</c:v>
                </c:pt>
                <c:pt idx="1">
                  <c:v>Overdue</c:v>
                </c:pt>
              </c:strCache>
            </c:strRef>
          </c:cat>
          <c:val>
            <c:numRef>
              <c:f>PivotData!$J$4:$J$6</c:f>
              <c:numCache>
                <c:formatCode>General</c:formatCode>
                <c:ptCount val="2"/>
                <c:pt idx="0">
                  <c:v>4</c:v>
                </c:pt>
                <c:pt idx="1">
                  <c:v>5</c:v>
                </c:pt>
              </c:numCache>
            </c:numRef>
          </c:val>
          <c:extLst>
            <c:ext xmlns:c16="http://schemas.microsoft.com/office/drawing/2014/chart" uri="{C3380CC4-5D6E-409C-BE32-E72D297353CC}">
              <c16:uniqueId val="{00000001-B3C3-466B-BBD7-9CF366A4A0B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[Project_Consolidation_Dashboard.xlsx]PivotData!ptLOB</c:name>
    <c:fmtId val="0"/>
  </c:pivotSource>
  <c:chart>
    <c:title>
      <c:tx>
        <c:rich>
          <a:bodyPr rot="0" spcFirstLastPara="1" vertOverflow="ellipsis" vert="horz" wrap="square" anchor="ctr" anchorCtr="1"/>
          <a:lstStyle/>
          <a:p>
            <a:pPr>
              <a:defRPr sz="1200" b="1" i="0" u="none" strike="noStrike" kern="1200" spc="0" baseline="0">
                <a:solidFill>
                  <a:srgbClr val="2E2257"/>
                </a:solidFill>
                <a:latin typeface="+mn-lt"/>
                <a:ea typeface="+mn-ea"/>
                <a:cs typeface="+mn-cs"/>
              </a:defRPr>
            </a:pPr>
            <a:r>
              <a:rPr lang="en-US" sz="1200" b="1">
                <a:solidFill>
                  <a:srgbClr val="2E2257"/>
                </a:solidFill>
              </a:rPr>
              <a:t>Projects by LOB &amp; Status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2E225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PivotData!$R$3:$R$4</c:f>
              <c:strCache>
                <c:ptCount val="1"/>
                <c:pt idx="0">
                  <c:v>Completed</c:v>
                </c:pt>
              </c:strCache>
            </c:strRef>
          </c:tx>
          <c:spPr>
            <a:solidFill>
              <a:schemeClr val="accent1"/>
            </a:solidFill>
            <a:ln>
              <a:noFill/>
            </a:ln>
            <a:effectLst/>
          </c:spPr>
          <c:invertIfNegative val="0"/>
          <c:cat>
            <c:strRef>
              <c:f>PivotData!$Q$5:$Q$8</c:f>
              <c:strCache>
                <c:ptCount val="3"/>
                <c:pt idx="0">
                  <c:v>Dispute Intake</c:v>
                </c:pt>
                <c:pt idx="1">
                  <c:v>Non-COB</c:v>
                </c:pt>
                <c:pt idx="2">
                  <c:v>Payment Integrity</c:v>
                </c:pt>
              </c:strCache>
            </c:strRef>
          </c:cat>
          <c:val>
            <c:numRef>
              <c:f>PivotData!$R$5:$R$8</c:f>
              <c:numCache>
                <c:formatCode>General</c:formatCode>
                <c:ptCount val="3"/>
                <c:pt idx="0">
                  <c:v>2</c:v>
                </c:pt>
                <c:pt idx="2">
                  <c:v>2</c:v>
                </c:pt>
              </c:numCache>
            </c:numRef>
          </c:val>
          <c:extLst>
            <c:ext xmlns:c16="http://schemas.microsoft.com/office/drawing/2014/chart" uri="{C3380CC4-5D6E-409C-BE32-E72D297353CC}">
              <c16:uniqueId val="{00000001-B4FD-4FEF-A80C-4D2D445DC7DD}"/>
            </c:ext>
          </c:extLst>
        </c:ser>
        <c:ser>
          <c:idx val="1"/>
          <c:order val="1"/>
          <c:tx>
            <c:strRef>
              <c:f>PivotData!$S$3:$S$4</c:f>
              <c:strCache>
                <c:ptCount val="1"/>
                <c:pt idx="0">
                  <c:v>Ongoing</c:v>
                </c:pt>
              </c:strCache>
            </c:strRef>
          </c:tx>
          <c:spPr>
            <a:solidFill>
              <a:schemeClr val="accent2"/>
            </a:solidFill>
            <a:ln>
              <a:noFill/>
            </a:ln>
            <a:effectLst/>
          </c:spPr>
          <c:invertIfNegative val="0"/>
          <c:cat>
            <c:strRef>
              <c:f>PivotData!$Q$5:$Q$8</c:f>
              <c:strCache>
                <c:ptCount val="3"/>
                <c:pt idx="0">
                  <c:v>Dispute Intake</c:v>
                </c:pt>
                <c:pt idx="1">
                  <c:v>Non-COB</c:v>
                </c:pt>
                <c:pt idx="2">
                  <c:v>Payment Integrity</c:v>
                </c:pt>
              </c:strCache>
            </c:strRef>
          </c:cat>
          <c:val>
            <c:numRef>
              <c:f>PivotData!$S$5:$S$8</c:f>
              <c:numCache>
                <c:formatCode>General</c:formatCode>
                <c:ptCount val="3"/>
                <c:pt idx="1">
                  <c:v>2</c:v>
                </c:pt>
                <c:pt idx="2">
                  <c:v>3</c:v>
                </c:pt>
              </c:numCache>
            </c:numRef>
          </c:val>
          <c:extLst>
            <c:ext xmlns:c16="http://schemas.microsoft.com/office/drawing/2014/chart" uri="{C3380CC4-5D6E-409C-BE32-E72D297353CC}">
              <c16:uniqueId val="{00000002-B4FD-4FEF-A80C-4D2D445DC7DD}"/>
            </c:ext>
          </c:extLst>
        </c:ser>
        <c:dLbls>
          <c:showLegendKey val="0"/>
          <c:showVal val="0"/>
          <c:showCatName val="0"/>
          <c:showSerName val="0"/>
          <c:showPercent val="0"/>
          <c:showBubbleSize val="0"/>
        </c:dLbls>
        <c:gapWidth val="150"/>
        <c:overlap val="100"/>
        <c:axId val="586377176"/>
        <c:axId val="586377536"/>
      </c:barChart>
      <c:catAx>
        <c:axId val="586377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377536"/>
        <c:crosses val="autoZero"/>
        <c:auto val="1"/>
        <c:lblAlgn val="ctr"/>
        <c:lblOffset val="100"/>
        <c:noMultiLvlLbl val="0"/>
      </c:catAx>
      <c:valAx>
        <c:axId val="58637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377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[Project_Consolidation_Dashboard.xlsx]PivotData!ptPOC</c:name>
    <c:fmtId val="0"/>
  </c:pivotSource>
  <c:chart>
    <c:title>
      <c:tx>
        <c:rich>
          <a:bodyPr rot="0" spcFirstLastPara="1" vertOverflow="ellipsis" vert="horz" wrap="square" anchor="ctr" anchorCtr="1"/>
          <a:lstStyle/>
          <a:p>
            <a:pPr>
              <a:defRPr sz="1200" b="1" i="0" u="none" strike="noStrike" kern="1200" spc="0" baseline="0">
                <a:solidFill>
                  <a:srgbClr val="2E2257"/>
                </a:solidFill>
                <a:latin typeface="+mn-lt"/>
                <a:ea typeface="+mn-ea"/>
                <a:cs typeface="+mn-cs"/>
              </a:defRPr>
            </a:pPr>
            <a:r>
              <a:rPr lang="en-US" sz="1200" b="1">
                <a:solidFill>
                  <a:srgbClr val="2E2257"/>
                </a:solidFill>
              </a:rPr>
              <a:t>Workload by POC &amp; Status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2E225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PivotData!$AA$3:$AA$4</c:f>
              <c:strCache>
                <c:ptCount val="1"/>
                <c:pt idx="0">
                  <c:v>Completed</c:v>
                </c:pt>
              </c:strCache>
            </c:strRef>
          </c:tx>
          <c:spPr>
            <a:solidFill>
              <a:schemeClr val="accent1"/>
            </a:solidFill>
            <a:ln>
              <a:noFill/>
            </a:ln>
            <a:effectLst/>
          </c:spPr>
          <c:invertIfNegative val="0"/>
          <c:cat>
            <c:strRef>
              <c:f>PivotData!$Z$5:$Z$11</c:f>
              <c:strCache>
                <c:ptCount val="6"/>
                <c:pt idx="0">
                  <c:v>Charlon Calugay</c:v>
                </c:pt>
                <c:pt idx="1">
                  <c:v>John Ryan Ariola</c:v>
                </c:pt>
                <c:pt idx="2">
                  <c:v>Junie Ann Martinez</c:v>
                </c:pt>
                <c:pt idx="3">
                  <c:v>Justin Umali</c:v>
                </c:pt>
                <c:pt idx="4">
                  <c:v>Pope Tuazon</c:v>
                </c:pt>
                <c:pt idx="5">
                  <c:v>Shine Abdulhalik</c:v>
                </c:pt>
              </c:strCache>
            </c:strRef>
          </c:cat>
          <c:val>
            <c:numRef>
              <c:f>PivotData!$AA$5:$AA$11</c:f>
              <c:numCache>
                <c:formatCode>General</c:formatCode>
                <c:ptCount val="6"/>
                <c:pt idx="0">
                  <c:v>1</c:v>
                </c:pt>
                <c:pt idx="1">
                  <c:v>1</c:v>
                </c:pt>
                <c:pt idx="3">
                  <c:v>1</c:v>
                </c:pt>
                <c:pt idx="4">
                  <c:v>1</c:v>
                </c:pt>
              </c:numCache>
            </c:numRef>
          </c:val>
          <c:extLst>
            <c:ext xmlns:c16="http://schemas.microsoft.com/office/drawing/2014/chart" uri="{C3380CC4-5D6E-409C-BE32-E72D297353CC}">
              <c16:uniqueId val="{00000001-401C-41F0-8FD9-42340C1111D5}"/>
            </c:ext>
          </c:extLst>
        </c:ser>
        <c:ser>
          <c:idx val="1"/>
          <c:order val="1"/>
          <c:tx>
            <c:strRef>
              <c:f>PivotData!$AB$3:$AB$4</c:f>
              <c:strCache>
                <c:ptCount val="1"/>
                <c:pt idx="0">
                  <c:v>Ongoing</c:v>
                </c:pt>
              </c:strCache>
            </c:strRef>
          </c:tx>
          <c:spPr>
            <a:solidFill>
              <a:schemeClr val="accent2"/>
            </a:solidFill>
            <a:ln>
              <a:noFill/>
            </a:ln>
            <a:effectLst/>
          </c:spPr>
          <c:invertIfNegative val="0"/>
          <c:cat>
            <c:strRef>
              <c:f>PivotData!$Z$5:$Z$11</c:f>
              <c:strCache>
                <c:ptCount val="6"/>
                <c:pt idx="0">
                  <c:v>Charlon Calugay</c:v>
                </c:pt>
                <c:pt idx="1">
                  <c:v>John Ryan Ariola</c:v>
                </c:pt>
                <c:pt idx="2">
                  <c:v>Junie Ann Martinez</c:v>
                </c:pt>
                <c:pt idx="3">
                  <c:v>Justin Umali</c:v>
                </c:pt>
                <c:pt idx="4">
                  <c:v>Pope Tuazon</c:v>
                </c:pt>
                <c:pt idx="5">
                  <c:v>Shine Abdulhalik</c:v>
                </c:pt>
              </c:strCache>
            </c:strRef>
          </c:cat>
          <c:val>
            <c:numRef>
              <c:f>PivotData!$AB$5:$AB$11</c:f>
              <c:numCache>
                <c:formatCode>General</c:formatCode>
                <c:ptCount val="6"/>
                <c:pt idx="1">
                  <c:v>3</c:v>
                </c:pt>
                <c:pt idx="2">
                  <c:v>1</c:v>
                </c:pt>
                <c:pt idx="5">
                  <c:v>1</c:v>
                </c:pt>
              </c:numCache>
            </c:numRef>
          </c:val>
          <c:extLst>
            <c:ext xmlns:c16="http://schemas.microsoft.com/office/drawing/2014/chart" uri="{C3380CC4-5D6E-409C-BE32-E72D297353CC}">
              <c16:uniqueId val="{00000002-401C-41F0-8FD9-42340C1111D5}"/>
            </c:ext>
          </c:extLst>
        </c:ser>
        <c:dLbls>
          <c:showLegendKey val="0"/>
          <c:showVal val="0"/>
          <c:showCatName val="0"/>
          <c:showSerName val="0"/>
          <c:showPercent val="0"/>
          <c:showBubbleSize val="0"/>
        </c:dLbls>
        <c:gapWidth val="150"/>
        <c:overlap val="100"/>
        <c:axId val="586383656"/>
        <c:axId val="586377896"/>
      </c:barChart>
      <c:catAx>
        <c:axId val="586383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377896"/>
        <c:crosses val="autoZero"/>
        <c:auto val="1"/>
        <c:lblAlgn val="ctr"/>
        <c:lblOffset val="100"/>
        <c:noMultiLvlLbl val="0"/>
      </c:catAx>
      <c:valAx>
        <c:axId val="586377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383656"/>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[Project_Consolidation_Dashboard.xlsx]PivotData!ptCategory</c:name>
    <c:fmtId val="0"/>
  </c:pivotSource>
  <c:chart>
    <c:title>
      <c:tx>
        <c:rich>
          <a:bodyPr rot="0" spcFirstLastPara="1" vertOverflow="ellipsis" vert="horz" wrap="square" anchor="ctr" anchorCtr="1"/>
          <a:lstStyle/>
          <a:p>
            <a:pPr>
              <a:defRPr sz="1200" b="1" i="0" u="none" strike="noStrike" kern="1200" spc="0" baseline="0">
                <a:solidFill>
                  <a:srgbClr val="2E2257"/>
                </a:solidFill>
                <a:latin typeface="+mn-lt"/>
                <a:ea typeface="+mn-ea"/>
                <a:cs typeface="+mn-cs"/>
              </a:defRPr>
            </a:pPr>
            <a:r>
              <a:rPr lang="en-US" sz="1200" b="1">
                <a:solidFill>
                  <a:srgbClr val="2E2257"/>
                </a:solidFill>
              </a:rPr>
              <a:t>Average Progress by Category</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2E225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PivotData!$N$3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PivotData!$M$4:$M$9</c:f>
              <c:strCache>
                <c:ptCount val="5"/>
                <c:pt idx="0">
                  <c:v>Ageing Management</c:v>
                </c:pt>
                <c:pt idx="1">
                  <c:v>Automation</c:v>
                </c:pt>
                <c:pt idx="2">
                  <c:v>Management Tool</c:v>
                </c:pt>
                <c:pt idx="3">
                  <c:v>Process Improvement</c:v>
                </c:pt>
                <c:pt idx="4">
                  <c:v>Workforce Management</c:v>
                </c:pt>
              </c:strCache>
            </c:strRef>
          </c:cat>
          <c:val>
            <c:numRef>
              <c:f>PivotData!$N$4:$N$9</c:f>
              <c:numCache>
                <c:formatCode>0%</c:formatCode>
                <c:ptCount val="5"/>
                <c:pt idx="0">
                  <c:v>1</c:v>
                </c:pt>
                <c:pt idx="1">
                  <c:v>1</c:v>
                </c:pt>
                <c:pt idx="2">
                  <c:v>0.75</c:v>
                </c:pt>
                <c:pt idx="3">
                  <c:v>0.875</c:v>
                </c:pt>
                <c:pt idx="4">
                  <c:v>1</c:v>
                </c:pt>
              </c:numCache>
            </c:numRef>
          </c:val>
          <c:extLst>
            <c:ext xmlns:c16="http://schemas.microsoft.com/office/drawing/2014/chart" uri="{C3380CC4-5D6E-409C-BE32-E72D297353CC}">
              <c16:uniqueId val="{00000001-88A9-4E97-850A-F8F2A98875DF}"/>
            </c:ext>
          </c:extLst>
        </c:ser>
        <c:dLbls>
          <c:showLegendKey val="0"/>
          <c:showVal val="0"/>
          <c:showCatName val="0"/>
          <c:showSerName val="0"/>
          <c:showPercent val="0"/>
          <c:showBubbleSize val="0"/>
        </c:dLbls>
        <c:gapWidth val="182"/>
        <c:axId val="586380056"/>
        <c:axId val="586380416"/>
      </c:barChart>
      <c:catAx>
        <c:axId val="586380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380416"/>
        <c:crosses val="autoZero"/>
        <c:auto val="1"/>
        <c:lblAlgn val="ctr"/>
        <c:lblOffset val="100"/>
        <c:noMultiLvlLbl val="0"/>
      </c:catAx>
      <c:valAx>
        <c:axId val="586380416"/>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380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Projects'!A1"/><Relationship Id="rId7" Type="http://schemas.openxmlformats.org/officeDocument/2006/relationships/chart" Target="../charts/chart3.xml"/><Relationship Id="rId2" Type="http://schemas.openxmlformats.org/officeDocument/2006/relationships/hyperlink" Target="#'Dashboard'!A1"/><Relationship Id="rId1" Type="http://schemas.openxmlformats.org/officeDocument/2006/relationships/image" Target="../media/image1.jp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hyperlink" Target="#'Timeline'!A1"/><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hyperlink" Target="#'Timeline'!A1"/><Relationship Id="rId2" Type="http://schemas.openxmlformats.org/officeDocument/2006/relationships/hyperlink" Target="#'Projects'!A1"/><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3" Type="http://schemas.openxmlformats.org/officeDocument/2006/relationships/hyperlink" Target="#'Timeline'!A1"/><Relationship Id="rId2" Type="http://schemas.openxmlformats.org/officeDocument/2006/relationships/hyperlink" Target="#'Projects'!A1"/><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3</xdr:row>
      <xdr:rowOff>0</xdr:rowOff>
    </xdr:from>
    <xdr:to>
      <xdr:col>17</xdr:col>
      <xdr:colOff>0</xdr:colOff>
      <xdr:row>72</xdr:row>
      <xdr:rowOff>0</xdr:rowOff>
    </xdr:to>
    <xdr:sp macro="" textlink="">
      <xdr:nvSpPr>
        <xdr:cNvPr id="52" name="bg_canvas">
          <a:extLst>
            <a:ext uri="{FF2B5EF4-FFF2-40B4-BE49-F238E27FC236}">
              <a16:creationId xmlns:a16="http://schemas.microsoft.com/office/drawing/2014/main" id="{C2D3E37D-D86B-7A1E-5235-91A7B417B87A}"/>
            </a:ext>
          </a:extLst>
        </xdr:cNvPr>
        <xdr:cNvSpPr/>
      </xdr:nvSpPr>
      <xdr:spPr>
        <a:xfrm>
          <a:off x="1514475" y="723900"/>
          <a:ext cx="14058900" cy="13458825"/>
        </a:xfrm>
        <a:prstGeom prst="rect">
          <a:avLst/>
        </a:prstGeom>
        <a:blipFill>
          <a:blip xmlns:r="http://schemas.openxmlformats.org/officeDocument/2006/relationships" r:embed="rId1"/>
          <a:stretch>
            <a:fillRect/>
          </a:stretch>
        </a:blip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127000</xdr:colOff>
      <xdr:row>0</xdr:row>
      <xdr:rowOff>127000</xdr:rowOff>
    </xdr:from>
    <xdr:to>
      <xdr:col>0</xdr:col>
      <xdr:colOff>1489075</xdr:colOff>
      <xdr:row>0</xdr:row>
      <xdr:rowOff>381000</xdr:rowOff>
    </xdr:to>
    <xdr:sp macro="" textlink="">
      <xdr:nvSpPr>
        <xdr:cNvPr id="2" name="TextBox 1">
          <a:extLst>
            <a:ext uri="{FF2B5EF4-FFF2-40B4-BE49-F238E27FC236}">
              <a16:creationId xmlns:a16="http://schemas.microsoft.com/office/drawing/2014/main" id="{8E5DD5D5-454E-2436-7CF5-5CD13C77530E}"/>
            </a:ext>
          </a:extLst>
        </xdr:cNvPr>
        <xdr:cNvSpPr txBox="1"/>
      </xdr:nvSpPr>
      <xdr:spPr>
        <a:xfrm>
          <a:off x="127000" y="127000"/>
          <a:ext cx="1362075"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900" b="1">
              <a:solidFill>
                <a:srgbClr val="5E5480"/>
              </a:solidFill>
              <a:latin typeface="Segoe UI" panose="020B0502040204020203" pitchFamily="34" charset="0"/>
            </a:rPr>
            <a:t>PROJECT HUB</a:t>
          </a:r>
        </a:p>
      </xdr:txBody>
    </xdr:sp>
    <xdr:clientData/>
  </xdr:twoCellAnchor>
  <xdr:twoCellAnchor editAs="absolute">
    <xdr:from>
      <xdr:col>0</xdr:col>
      <xdr:colOff>76200</xdr:colOff>
      <xdr:row>1</xdr:row>
      <xdr:rowOff>57150</xdr:rowOff>
    </xdr:from>
    <xdr:to>
      <xdr:col>0</xdr:col>
      <xdr:colOff>1438275</xdr:colOff>
      <xdr:row>3</xdr:row>
      <xdr:rowOff>114300</xdr:rowOff>
    </xdr:to>
    <xdr:sp macro="" textlink="">
      <xdr:nvSpPr>
        <xdr:cNvPr id="3" name="nav_Dashboard">
          <a:hlinkClick xmlns:r="http://schemas.openxmlformats.org/officeDocument/2006/relationships" r:id="rId2" tooltip="Go to Dashboard"/>
          <a:extLst>
            <a:ext uri="{FF2B5EF4-FFF2-40B4-BE49-F238E27FC236}">
              <a16:creationId xmlns:a16="http://schemas.microsoft.com/office/drawing/2014/main" id="{988EDD1D-C3A5-53F3-F421-20BFABD18F67}"/>
            </a:ext>
          </a:extLst>
        </xdr:cNvPr>
        <xdr:cNvSpPr/>
      </xdr:nvSpPr>
      <xdr:spPr>
        <a:xfrm>
          <a:off x="76200" y="457200"/>
          <a:ext cx="1362075" cy="381000"/>
        </a:xfrm>
        <a:prstGeom prst="roundRect">
          <a:avLst>
            <a:gd name="adj" fmla="val 20000"/>
          </a:avLst>
        </a:prstGeom>
        <a:solidFill>
          <a:srgbClr val="7C3AED"/>
        </a:solidFill>
        <a:ln w="19050" cap="flat" cmpd="sng" algn="ctr">
          <a:noFill/>
          <a:prstDash val="solid"/>
          <a:miter lim="800000"/>
        </a:ln>
        <a:effectLst>
          <a:outerShdw blurRad="63500" dist="28398" dir="3806086" rotWithShape="0">
            <a:scrgbClr r="0" g="0" b="0">
              <a:alpha val="3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FFFFFF"/>
              </a:solidFill>
              <a:latin typeface="Segoe MDL2 Assets" panose="050A0102010101010101" pitchFamily="18" charset="0"/>
            </a:rPr>
            <a:t></a:t>
          </a:r>
          <a:r>
            <a:rPr lang="en-US" sz="1100" b="1">
              <a:solidFill>
                <a:srgbClr val="FFFFFF"/>
              </a:solidFill>
              <a:latin typeface="Segoe UI" panose="020B0502040204020203" pitchFamily="34" charset="0"/>
            </a:rPr>
            <a:t>   Dashboard</a:t>
          </a:r>
        </a:p>
      </xdr:txBody>
    </xdr:sp>
    <xdr:clientData/>
  </xdr:twoCellAnchor>
  <xdr:twoCellAnchor editAs="absolute">
    <xdr:from>
      <xdr:col>0</xdr:col>
      <xdr:colOff>76200</xdr:colOff>
      <xdr:row>3</xdr:row>
      <xdr:rowOff>165100</xdr:rowOff>
    </xdr:from>
    <xdr:to>
      <xdr:col>0</xdr:col>
      <xdr:colOff>1438275</xdr:colOff>
      <xdr:row>5</xdr:row>
      <xdr:rowOff>60325</xdr:rowOff>
    </xdr:to>
    <xdr:sp macro="" textlink="">
      <xdr:nvSpPr>
        <xdr:cNvPr id="4" name="nav_Projects">
          <a:hlinkClick xmlns:r="http://schemas.openxmlformats.org/officeDocument/2006/relationships" r:id="rId3" tooltip="Go to Projects"/>
          <a:extLst>
            <a:ext uri="{FF2B5EF4-FFF2-40B4-BE49-F238E27FC236}">
              <a16:creationId xmlns:a16="http://schemas.microsoft.com/office/drawing/2014/main" id="{C4F416B1-5F72-9DDC-7A76-1F6223F1F45C}"/>
            </a:ext>
          </a:extLst>
        </xdr:cNvPr>
        <xdr:cNvSpPr/>
      </xdr:nvSpPr>
      <xdr:spPr>
        <a:xfrm>
          <a:off x="76200" y="889000"/>
          <a:ext cx="1362075" cy="381000"/>
        </a:xfrm>
        <a:prstGeom prst="roundRect">
          <a:avLst>
            <a:gd name="adj" fmla="val 20000"/>
          </a:avLst>
        </a:prstGeom>
        <a:solidFill>
          <a:srgbClr val="C3BBF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2E2257"/>
              </a:solidFill>
              <a:latin typeface="Segoe MDL2 Assets" panose="050A0102010101010101" pitchFamily="18" charset="0"/>
            </a:rPr>
            <a:t></a:t>
          </a:r>
          <a:r>
            <a:rPr lang="en-US" sz="1100" b="1">
              <a:solidFill>
                <a:srgbClr val="2E2257"/>
              </a:solidFill>
              <a:latin typeface="Segoe UI" panose="020B0502040204020203" pitchFamily="34" charset="0"/>
            </a:rPr>
            <a:t>   Projects</a:t>
          </a:r>
        </a:p>
      </xdr:txBody>
    </xdr:sp>
    <xdr:clientData/>
  </xdr:twoCellAnchor>
  <xdr:twoCellAnchor editAs="absolute">
    <xdr:from>
      <xdr:col>0</xdr:col>
      <xdr:colOff>76200</xdr:colOff>
      <xdr:row>5</xdr:row>
      <xdr:rowOff>111125</xdr:rowOff>
    </xdr:from>
    <xdr:to>
      <xdr:col>0</xdr:col>
      <xdr:colOff>1438275</xdr:colOff>
      <xdr:row>6</xdr:row>
      <xdr:rowOff>187325</xdr:rowOff>
    </xdr:to>
    <xdr:sp macro="" textlink="">
      <xdr:nvSpPr>
        <xdr:cNvPr id="5" name="nav_Timeline">
          <a:hlinkClick xmlns:r="http://schemas.openxmlformats.org/officeDocument/2006/relationships" r:id="rId4" tooltip="Go to Timeline"/>
          <a:extLst>
            <a:ext uri="{FF2B5EF4-FFF2-40B4-BE49-F238E27FC236}">
              <a16:creationId xmlns:a16="http://schemas.microsoft.com/office/drawing/2014/main" id="{3A10613F-AF9D-6DA9-75D7-D06BA82A0F82}"/>
            </a:ext>
          </a:extLst>
        </xdr:cNvPr>
        <xdr:cNvSpPr/>
      </xdr:nvSpPr>
      <xdr:spPr>
        <a:xfrm>
          <a:off x="76200" y="1320800"/>
          <a:ext cx="1362075" cy="381000"/>
        </a:xfrm>
        <a:prstGeom prst="roundRect">
          <a:avLst>
            <a:gd name="adj" fmla="val 20000"/>
          </a:avLst>
        </a:prstGeom>
        <a:solidFill>
          <a:srgbClr val="C3BBF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2E2257"/>
              </a:solidFill>
              <a:latin typeface="Segoe MDL2 Assets" panose="050A0102010101010101" pitchFamily="18" charset="0"/>
            </a:rPr>
            <a:t></a:t>
          </a:r>
          <a:r>
            <a:rPr lang="en-US" sz="1100" b="1">
              <a:solidFill>
                <a:srgbClr val="2E2257"/>
              </a:solidFill>
              <a:latin typeface="Segoe UI" panose="020B0502040204020203" pitchFamily="34" charset="0"/>
            </a:rPr>
            <a:t>   Timeline</a:t>
          </a:r>
        </a:p>
      </xdr:txBody>
    </xdr:sp>
    <xdr:clientData/>
  </xdr:twoCellAnchor>
  <xdr:twoCellAnchor editAs="absolute">
    <xdr:from>
      <xdr:col>1</xdr:col>
      <xdr:colOff>127000</xdr:colOff>
      <xdr:row>4</xdr:row>
      <xdr:rowOff>38100</xdr:rowOff>
    </xdr:from>
    <xdr:to>
      <xdr:col>2</xdr:col>
      <xdr:colOff>1154906</xdr:colOff>
      <xdr:row>7</xdr:row>
      <xdr:rowOff>266700</xdr:rowOff>
    </xdr:to>
    <xdr:sp macro="" textlink="">
      <xdr:nvSpPr>
        <xdr:cNvPr id="6" name="Rectangle: Rounded Corners 5">
          <a:extLst>
            <a:ext uri="{FF2B5EF4-FFF2-40B4-BE49-F238E27FC236}">
              <a16:creationId xmlns:a16="http://schemas.microsoft.com/office/drawing/2014/main" id="{0A3BC2B8-A120-7B4F-6E19-AE79C83A480C}"/>
            </a:ext>
          </a:extLst>
        </xdr:cNvPr>
        <xdr:cNvSpPr/>
      </xdr:nvSpPr>
      <xdr:spPr>
        <a:xfrm>
          <a:off x="1641475" y="942975"/>
          <a:ext cx="3342481" cy="1143000"/>
        </a:xfrm>
        <a:prstGeom prst="roundRect">
          <a:avLst>
            <a:gd name="adj" fmla="val 12000"/>
          </a:avLst>
        </a:prstGeom>
        <a:solidFill>
          <a:srgbClr val="FFFFFF"/>
        </a:solidFill>
        <a:ln w="9525">
          <a:solidFill>
            <a:srgbClr val="C3BBFD"/>
          </a:solidFill>
        </a:ln>
        <a:effectLst>
          <a:outerShdw blurRad="63500" dist="35921" dir="2700002" rotWithShape="0">
            <a:scrgbClr r="0" g="0" b="0">
              <a:alpha val="3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304800</xdr:colOff>
      <xdr:row>5</xdr:row>
      <xdr:rowOff>50800</xdr:rowOff>
    </xdr:from>
    <xdr:to>
      <xdr:col>1</xdr:col>
      <xdr:colOff>812800</xdr:colOff>
      <xdr:row>6</xdr:row>
      <xdr:rowOff>254000</xdr:rowOff>
    </xdr:to>
    <xdr:sp macro="" textlink="">
      <xdr:nvSpPr>
        <xdr:cNvPr id="7" name="Oval 6">
          <a:extLst>
            <a:ext uri="{FF2B5EF4-FFF2-40B4-BE49-F238E27FC236}">
              <a16:creationId xmlns:a16="http://schemas.microsoft.com/office/drawing/2014/main" id="{DC17B1F2-0C29-2464-1F06-8EC5F45B89F2}"/>
            </a:ext>
          </a:extLst>
        </xdr:cNvPr>
        <xdr:cNvSpPr/>
      </xdr:nvSpPr>
      <xdr:spPr>
        <a:xfrm>
          <a:off x="1819275" y="1260475"/>
          <a:ext cx="508000" cy="508000"/>
        </a:xfrm>
        <a:prstGeom prst="ellipse">
          <a:avLst/>
        </a:prstGeom>
        <a:solidFill>
          <a:srgbClr val="7C3AED"/>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2000">
              <a:solidFill>
                <a:srgbClr val="FFFFFF"/>
              </a:solidFill>
              <a:latin typeface="Segoe MDL2 Assets" panose="050A0102010101010101" pitchFamily="18" charset="0"/>
            </a:rPr>
            <a:t></a:t>
          </a:r>
        </a:p>
      </xdr:txBody>
    </xdr:sp>
    <xdr:clientData/>
  </xdr:twoCellAnchor>
  <xdr:twoCellAnchor editAs="absolute">
    <xdr:from>
      <xdr:col>1</xdr:col>
      <xdr:colOff>889000</xdr:colOff>
      <xdr:row>4</xdr:row>
      <xdr:rowOff>114300</xdr:rowOff>
    </xdr:from>
    <xdr:to>
      <xdr:col>2</xdr:col>
      <xdr:colOff>1053306</xdr:colOff>
      <xdr:row>5</xdr:row>
      <xdr:rowOff>88900</xdr:rowOff>
    </xdr:to>
    <xdr:sp macro="" textlink="">
      <xdr:nvSpPr>
        <xdr:cNvPr id="8" name="TextBox 7">
          <a:extLst>
            <a:ext uri="{FF2B5EF4-FFF2-40B4-BE49-F238E27FC236}">
              <a16:creationId xmlns:a16="http://schemas.microsoft.com/office/drawing/2014/main" id="{B4FF812B-BAAC-35F5-DADE-23E51BBA9EB2}"/>
            </a:ext>
          </a:extLst>
        </xdr:cNvPr>
        <xdr:cNvSpPr txBox="1"/>
      </xdr:nvSpPr>
      <xdr:spPr>
        <a:xfrm>
          <a:off x="2403475" y="1019175"/>
          <a:ext cx="2478881"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600" b="1">
              <a:solidFill>
                <a:srgbClr val="7C3AED"/>
              </a:solidFill>
              <a:latin typeface="Segoe UI" panose="020B0502040204020203" pitchFamily="34" charset="0"/>
            </a:rPr>
            <a:t>TOTAL PROJECTS</a:t>
          </a:r>
        </a:p>
      </xdr:txBody>
    </xdr:sp>
    <xdr:clientData/>
  </xdr:twoCellAnchor>
  <xdr:twoCellAnchor editAs="absolute">
    <xdr:from>
      <xdr:col>1</xdr:col>
      <xdr:colOff>889000</xdr:colOff>
      <xdr:row>5</xdr:row>
      <xdr:rowOff>101600</xdr:rowOff>
    </xdr:from>
    <xdr:to>
      <xdr:col>2</xdr:col>
      <xdr:colOff>1053306</xdr:colOff>
      <xdr:row>6</xdr:row>
      <xdr:rowOff>254000</xdr:rowOff>
    </xdr:to>
    <xdr:sp macro="" textlink="PivotData!$B$20">
      <xdr:nvSpPr>
        <xdr:cNvPr id="9" name="TextBox 8">
          <a:extLst>
            <a:ext uri="{FF2B5EF4-FFF2-40B4-BE49-F238E27FC236}">
              <a16:creationId xmlns:a16="http://schemas.microsoft.com/office/drawing/2014/main" id="{C30BE338-616D-1A57-104A-5B96CBFEB53B}"/>
            </a:ext>
          </a:extLst>
        </xdr:cNvPr>
        <xdr:cNvSpPr txBox="1"/>
      </xdr:nvSpPr>
      <xdr:spPr>
        <a:xfrm>
          <a:off x="2403475" y="1311275"/>
          <a:ext cx="2478881"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fld id="{D6A179B0-D4D8-4486-86BC-A78C4D061459}" type="TxLink">
            <a:rPr lang="en-US" sz="2600" b="1" i="0" u="none" strike="noStrike">
              <a:solidFill>
                <a:srgbClr val="2E2257"/>
              </a:solidFill>
              <a:latin typeface="Segoe UI" panose="020B0502040204020203" pitchFamily="34" charset="0"/>
            </a:rPr>
            <a:pPr algn="ctr"/>
            <a:t>9</a:t>
          </a:fld>
          <a:endParaRPr lang="en-US" sz="2600" b="1">
            <a:solidFill>
              <a:srgbClr val="2E2257"/>
            </a:solidFill>
            <a:latin typeface="Segoe UI" panose="020B0502040204020203" pitchFamily="34" charset="0"/>
          </a:endParaRPr>
        </a:p>
      </xdr:txBody>
    </xdr:sp>
    <xdr:clientData/>
  </xdr:twoCellAnchor>
  <xdr:twoCellAnchor editAs="absolute">
    <xdr:from>
      <xdr:col>1</xdr:col>
      <xdr:colOff>889000</xdr:colOff>
      <xdr:row>6</xdr:row>
      <xdr:rowOff>279400</xdr:rowOff>
    </xdr:from>
    <xdr:to>
      <xdr:col>2</xdr:col>
      <xdr:colOff>1053306</xdr:colOff>
      <xdr:row>7</xdr:row>
      <xdr:rowOff>228600</xdr:rowOff>
    </xdr:to>
    <xdr:sp macro="" textlink="">
      <xdr:nvSpPr>
        <xdr:cNvPr id="10" name="TextBox 9">
          <a:extLst>
            <a:ext uri="{FF2B5EF4-FFF2-40B4-BE49-F238E27FC236}">
              <a16:creationId xmlns:a16="http://schemas.microsoft.com/office/drawing/2014/main" id="{7B7E09C1-C685-355A-80C6-D94A3FA47439}"/>
            </a:ext>
          </a:extLst>
        </xdr:cNvPr>
        <xdr:cNvSpPr txBox="1"/>
      </xdr:nvSpPr>
      <xdr:spPr>
        <a:xfrm>
          <a:off x="2403475" y="1793875"/>
          <a:ext cx="2478881"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400" b="0">
              <a:solidFill>
                <a:srgbClr val="5E5480"/>
              </a:solidFill>
              <a:latin typeface="Segoe UI" panose="020B0502040204020203" pitchFamily="34" charset="0"/>
            </a:rPr>
            <a:t>in current filter</a:t>
          </a:r>
        </a:p>
      </xdr:txBody>
    </xdr:sp>
    <xdr:clientData/>
  </xdr:twoCellAnchor>
  <xdr:twoCellAnchor editAs="absolute">
    <xdr:from>
      <xdr:col>3</xdr:col>
      <xdr:colOff>34131</xdr:colOff>
      <xdr:row>4</xdr:row>
      <xdr:rowOff>38100</xdr:rowOff>
    </xdr:from>
    <xdr:to>
      <xdr:col>6</xdr:col>
      <xdr:colOff>233363</xdr:colOff>
      <xdr:row>7</xdr:row>
      <xdr:rowOff>266700</xdr:rowOff>
    </xdr:to>
    <xdr:sp macro="" textlink="">
      <xdr:nvSpPr>
        <xdr:cNvPr id="11" name="Rectangle: Rounded Corners 10">
          <a:extLst>
            <a:ext uri="{FF2B5EF4-FFF2-40B4-BE49-F238E27FC236}">
              <a16:creationId xmlns:a16="http://schemas.microsoft.com/office/drawing/2014/main" id="{A845C879-4C9D-5B41-CE70-5E3337C6F1A3}"/>
            </a:ext>
          </a:extLst>
        </xdr:cNvPr>
        <xdr:cNvSpPr/>
      </xdr:nvSpPr>
      <xdr:spPr>
        <a:xfrm>
          <a:off x="5110956" y="942975"/>
          <a:ext cx="3342482" cy="1143000"/>
        </a:xfrm>
        <a:prstGeom prst="roundRect">
          <a:avLst>
            <a:gd name="adj" fmla="val 12000"/>
          </a:avLst>
        </a:prstGeom>
        <a:solidFill>
          <a:srgbClr val="FFFFFF"/>
        </a:solidFill>
        <a:ln w="9525">
          <a:solidFill>
            <a:srgbClr val="C3BBFD"/>
          </a:solidFill>
        </a:ln>
        <a:effectLst>
          <a:outerShdw blurRad="63500" dist="35921" dir="2700002" rotWithShape="0">
            <a:scrgbClr r="0" g="0" b="0">
              <a:alpha val="3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211931</xdr:colOff>
      <xdr:row>5</xdr:row>
      <xdr:rowOff>50800</xdr:rowOff>
    </xdr:from>
    <xdr:to>
      <xdr:col>3</xdr:col>
      <xdr:colOff>719931</xdr:colOff>
      <xdr:row>6</xdr:row>
      <xdr:rowOff>254000</xdr:rowOff>
    </xdr:to>
    <xdr:sp macro="" textlink="">
      <xdr:nvSpPr>
        <xdr:cNvPr id="12" name="Oval 11">
          <a:extLst>
            <a:ext uri="{FF2B5EF4-FFF2-40B4-BE49-F238E27FC236}">
              <a16:creationId xmlns:a16="http://schemas.microsoft.com/office/drawing/2014/main" id="{2407A3C6-6E20-1C5B-3CA4-B9EB94982972}"/>
            </a:ext>
          </a:extLst>
        </xdr:cNvPr>
        <xdr:cNvSpPr/>
      </xdr:nvSpPr>
      <xdr:spPr>
        <a:xfrm>
          <a:off x="5288756" y="1260475"/>
          <a:ext cx="508000" cy="508000"/>
        </a:xfrm>
        <a:prstGeom prst="ellipse">
          <a:avLst/>
        </a:prstGeom>
        <a:solidFill>
          <a:srgbClr val="10B981"/>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2000">
              <a:solidFill>
                <a:srgbClr val="FFFFFF"/>
              </a:solidFill>
              <a:latin typeface="Segoe MDL2 Assets" panose="050A0102010101010101" pitchFamily="18" charset="0"/>
            </a:rPr>
            <a:t></a:t>
          </a:r>
        </a:p>
      </xdr:txBody>
    </xdr:sp>
    <xdr:clientData/>
  </xdr:twoCellAnchor>
  <xdr:twoCellAnchor editAs="absolute">
    <xdr:from>
      <xdr:col>3</xdr:col>
      <xdr:colOff>796131</xdr:colOff>
      <xdr:row>4</xdr:row>
      <xdr:rowOff>114300</xdr:rowOff>
    </xdr:from>
    <xdr:to>
      <xdr:col>6</xdr:col>
      <xdr:colOff>131762</xdr:colOff>
      <xdr:row>5</xdr:row>
      <xdr:rowOff>88900</xdr:rowOff>
    </xdr:to>
    <xdr:sp macro="" textlink="">
      <xdr:nvSpPr>
        <xdr:cNvPr id="13" name="TextBox 12">
          <a:extLst>
            <a:ext uri="{FF2B5EF4-FFF2-40B4-BE49-F238E27FC236}">
              <a16:creationId xmlns:a16="http://schemas.microsoft.com/office/drawing/2014/main" id="{F901617F-B371-23F0-B48F-8F6382407EF9}"/>
            </a:ext>
          </a:extLst>
        </xdr:cNvPr>
        <xdr:cNvSpPr txBox="1"/>
      </xdr:nvSpPr>
      <xdr:spPr>
        <a:xfrm>
          <a:off x="5872956" y="1019175"/>
          <a:ext cx="2478881"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600" b="1">
              <a:solidFill>
                <a:srgbClr val="10B981"/>
              </a:solidFill>
              <a:latin typeface="Segoe UI" panose="020B0502040204020203" pitchFamily="34" charset="0"/>
            </a:rPr>
            <a:t>COMPLETED</a:t>
          </a:r>
        </a:p>
      </xdr:txBody>
    </xdr:sp>
    <xdr:clientData/>
  </xdr:twoCellAnchor>
  <xdr:twoCellAnchor editAs="absolute">
    <xdr:from>
      <xdr:col>3</xdr:col>
      <xdr:colOff>796131</xdr:colOff>
      <xdr:row>5</xdr:row>
      <xdr:rowOff>101600</xdr:rowOff>
    </xdr:from>
    <xdr:to>
      <xdr:col>6</xdr:col>
      <xdr:colOff>131762</xdr:colOff>
      <xdr:row>6</xdr:row>
      <xdr:rowOff>254000</xdr:rowOff>
    </xdr:to>
    <xdr:sp macro="" textlink="PivotData!$B$21">
      <xdr:nvSpPr>
        <xdr:cNvPr id="14" name="TextBox 13">
          <a:extLst>
            <a:ext uri="{FF2B5EF4-FFF2-40B4-BE49-F238E27FC236}">
              <a16:creationId xmlns:a16="http://schemas.microsoft.com/office/drawing/2014/main" id="{92DCA652-B78D-0EE4-8A5A-2DF096044C49}"/>
            </a:ext>
          </a:extLst>
        </xdr:cNvPr>
        <xdr:cNvSpPr txBox="1"/>
      </xdr:nvSpPr>
      <xdr:spPr>
        <a:xfrm>
          <a:off x="5872956" y="1311275"/>
          <a:ext cx="2478881"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fld id="{D289BD8D-AF8E-48A3-8DDA-96DDD9B34DF6}" type="TxLink">
            <a:rPr lang="en-US" sz="2600" b="1" i="0" u="none" strike="noStrike">
              <a:solidFill>
                <a:srgbClr val="2E2257"/>
              </a:solidFill>
              <a:latin typeface="Segoe UI" panose="020B0502040204020203" pitchFamily="34" charset="0"/>
            </a:rPr>
            <a:pPr algn="ctr"/>
            <a:t>4</a:t>
          </a:fld>
          <a:endParaRPr lang="en-US" sz="2600" b="1">
            <a:solidFill>
              <a:srgbClr val="2E2257"/>
            </a:solidFill>
            <a:latin typeface="Segoe UI" panose="020B0502040204020203" pitchFamily="34" charset="0"/>
          </a:endParaRPr>
        </a:p>
      </xdr:txBody>
    </xdr:sp>
    <xdr:clientData/>
  </xdr:twoCellAnchor>
  <xdr:twoCellAnchor editAs="absolute">
    <xdr:from>
      <xdr:col>3</xdr:col>
      <xdr:colOff>796131</xdr:colOff>
      <xdr:row>6</xdr:row>
      <xdr:rowOff>279400</xdr:rowOff>
    </xdr:from>
    <xdr:to>
      <xdr:col>6</xdr:col>
      <xdr:colOff>131762</xdr:colOff>
      <xdr:row>7</xdr:row>
      <xdr:rowOff>228600</xdr:rowOff>
    </xdr:to>
    <xdr:sp macro="" textlink="">
      <xdr:nvSpPr>
        <xdr:cNvPr id="15" name="TextBox 14">
          <a:extLst>
            <a:ext uri="{FF2B5EF4-FFF2-40B4-BE49-F238E27FC236}">
              <a16:creationId xmlns:a16="http://schemas.microsoft.com/office/drawing/2014/main" id="{E77560AF-3F62-890A-A9D5-543D8BAC9A18}"/>
            </a:ext>
          </a:extLst>
        </xdr:cNvPr>
        <xdr:cNvSpPr txBox="1"/>
      </xdr:nvSpPr>
      <xdr:spPr>
        <a:xfrm>
          <a:off x="5872956" y="1793875"/>
          <a:ext cx="2478881"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400" b="0">
              <a:solidFill>
                <a:srgbClr val="5E5480"/>
              </a:solidFill>
              <a:latin typeface="Segoe UI" panose="020B0502040204020203" pitchFamily="34" charset="0"/>
            </a:rPr>
            <a:t>projects delivered</a:t>
          </a:r>
        </a:p>
      </xdr:txBody>
    </xdr:sp>
    <xdr:clientData/>
  </xdr:twoCellAnchor>
  <xdr:twoCellAnchor editAs="absolute">
    <xdr:from>
      <xdr:col>6</xdr:col>
      <xdr:colOff>360363</xdr:colOff>
      <xdr:row>4</xdr:row>
      <xdr:rowOff>38100</xdr:rowOff>
    </xdr:from>
    <xdr:to>
      <xdr:col>10</xdr:col>
      <xdr:colOff>645319</xdr:colOff>
      <xdr:row>7</xdr:row>
      <xdr:rowOff>266700</xdr:rowOff>
    </xdr:to>
    <xdr:sp macro="" textlink="">
      <xdr:nvSpPr>
        <xdr:cNvPr id="16" name="Rectangle: Rounded Corners 15">
          <a:extLst>
            <a:ext uri="{FF2B5EF4-FFF2-40B4-BE49-F238E27FC236}">
              <a16:creationId xmlns:a16="http://schemas.microsoft.com/office/drawing/2014/main" id="{E88D4CD3-ACDD-46D9-D2C5-E78C6D1E9E82}"/>
            </a:ext>
          </a:extLst>
        </xdr:cNvPr>
        <xdr:cNvSpPr/>
      </xdr:nvSpPr>
      <xdr:spPr>
        <a:xfrm>
          <a:off x="8580438" y="942975"/>
          <a:ext cx="3342481" cy="1143000"/>
        </a:xfrm>
        <a:prstGeom prst="roundRect">
          <a:avLst>
            <a:gd name="adj" fmla="val 12000"/>
          </a:avLst>
        </a:prstGeom>
        <a:solidFill>
          <a:srgbClr val="FFFFFF"/>
        </a:solidFill>
        <a:ln w="9525">
          <a:solidFill>
            <a:srgbClr val="C3BBFD"/>
          </a:solidFill>
        </a:ln>
        <a:effectLst>
          <a:outerShdw blurRad="63500" dist="35921" dir="2700002" rotWithShape="0">
            <a:scrgbClr r="0" g="0" b="0">
              <a:alpha val="3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538163</xdr:colOff>
      <xdr:row>5</xdr:row>
      <xdr:rowOff>50800</xdr:rowOff>
    </xdr:from>
    <xdr:to>
      <xdr:col>7</xdr:col>
      <xdr:colOff>331788</xdr:colOff>
      <xdr:row>6</xdr:row>
      <xdr:rowOff>254000</xdr:rowOff>
    </xdr:to>
    <xdr:sp macro="" textlink="">
      <xdr:nvSpPr>
        <xdr:cNvPr id="17" name="Oval 16">
          <a:extLst>
            <a:ext uri="{FF2B5EF4-FFF2-40B4-BE49-F238E27FC236}">
              <a16:creationId xmlns:a16="http://schemas.microsoft.com/office/drawing/2014/main" id="{E682E39D-06E3-778E-99C1-12BBFAC142BF}"/>
            </a:ext>
          </a:extLst>
        </xdr:cNvPr>
        <xdr:cNvSpPr/>
      </xdr:nvSpPr>
      <xdr:spPr>
        <a:xfrm>
          <a:off x="8758238" y="1260475"/>
          <a:ext cx="508000" cy="508000"/>
        </a:xfrm>
        <a:prstGeom prst="ellipse">
          <a:avLst/>
        </a:prstGeom>
        <a:solidFill>
          <a:srgbClr val="F59E0B"/>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2000">
              <a:solidFill>
                <a:srgbClr val="FFFFFF"/>
              </a:solidFill>
              <a:latin typeface="Segoe MDL2 Assets" panose="050A0102010101010101" pitchFamily="18" charset="0"/>
            </a:rPr>
            <a:t></a:t>
          </a:r>
        </a:p>
      </xdr:txBody>
    </xdr:sp>
    <xdr:clientData/>
  </xdr:twoCellAnchor>
  <xdr:twoCellAnchor editAs="absolute">
    <xdr:from>
      <xdr:col>7</xdr:col>
      <xdr:colOff>407988</xdr:colOff>
      <xdr:row>4</xdr:row>
      <xdr:rowOff>114300</xdr:rowOff>
    </xdr:from>
    <xdr:to>
      <xdr:col>10</xdr:col>
      <xdr:colOff>543719</xdr:colOff>
      <xdr:row>5</xdr:row>
      <xdr:rowOff>88900</xdr:rowOff>
    </xdr:to>
    <xdr:sp macro="" textlink="">
      <xdr:nvSpPr>
        <xdr:cNvPr id="18" name="TextBox 17">
          <a:extLst>
            <a:ext uri="{FF2B5EF4-FFF2-40B4-BE49-F238E27FC236}">
              <a16:creationId xmlns:a16="http://schemas.microsoft.com/office/drawing/2014/main" id="{A952D4BE-EC4E-8AF3-9452-D65EE432A142}"/>
            </a:ext>
          </a:extLst>
        </xdr:cNvPr>
        <xdr:cNvSpPr txBox="1"/>
      </xdr:nvSpPr>
      <xdr:spPr>
        <a:xfrm>
          <a:off x="9342438" y="1019175"/>
          <a:ext cx="2478881"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600" b="1">
              <a:solidFill>
                <a:srgbClr val="F59E0B"/>
              </a:solidFill>
              <a:latin typeface="Segoe UI" panose="020B0502040204020203" pitchFamily="34" charset="0"/>
            </a:rPr>
            <a:t>ONGOING</a:t>
          </a:r>
        </a:p>
      </xdr:txBody>
    </xdr:sp>
    <xdr:clientData/>
  </xdr:twoCellAnchor>
  <xdr:twoCellAnchor editAs="absolute">
    <xdr:from>
      <xdr:col>7</xdr:col>
      <xdr:colOff>407988</xdr:colOff>
      <xdr:row>5</xdr:row>
      <xdr:rowOff>101600</xdr:rowOff>
    </xdr:from>
    <xdr:to>
      <xdr:col>10</xdr:col>
      <xdr:colOff>543719</xdr:colOff>
      <xdr:row>6</xdr:row>
      <xdr:rowOff>254000</xdr:rowOff>
    </xdr:to>
    <xdr:sp macro="" textlink="PivotData!$B$22">
      <xdr:nvSpPr>
        <xdr:cNvPr id="19" name="TextBox 18">
          <a:extLst>
            <a:ext uri="{FF2B5EF4-FFF2-40B4-BE49-F238E27FC236}">
              <a16:creationId xmlns:a16="http://schemas.microsoft.com/office/drawing/2014/main" id="{8FC21342-51CD-6609-2A3D-F71951226FBC}"/>
            </a:ext>
          </a:extLst>
        </xdr:cNvPr>
        <xdr:cNvSpPr txBox="1"/>
      </xdr:nvSpPr>
      <xdr:spPr>
        <a:xfrm>
          <a:off x="9342438" y="1311275"/>
          <a:ext cx="2478881"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fld id="{87C50B91-4450-4532-B2DE-D627596EC8FD}" type="TxLink">
            <a:rPr lang="en-US" sz="2600" b="1" i="0" u="none" strike="noStrike">
              <a:solidFill>
                <a:srgbClr val="2E2257"/>
              </a:solidFill>
              <a:latin typeface="Segoe UI" panose="020B0502040204020203" pitchFamily="34" charset="0"/>
            </a:rPr>
            <a:pPr algn="ctr"/>
            <a:t>5</a:t>
          </a:fld>
          <a:endParaRPr lang="en-US" sz="2600" b="1">
            <a:solidFill>
              <a:srgbClr val="2E2257"/>
            </a:solidFill>
            <a:latin typeface="Segoe UI" panose="020B0502040204020203" pitchFamily="34" charset="0"/>
          </a:endParaRPr>
        </a:p>
      </xdr:txBody>
    </xdr:sp>
    <xdr:clientData/>
  </xdr:twoCellAnchor>
  <xdr:twoCellAnchor editAs="absolute">
    <xdr:from>
      <xdr:col>7</xdr:col>
      <xdr:colOff>407988</xdr:colOff>
      <xdr:row>6</xdr:row>
      <xdr:rowOff>279400</xdr:rowOff>
    </xdr:from>
    <xdr:to>
      <xdr:col>10</xdr:col>
      <xdr:colOff>543719</xdr:colOff>
      <xdr:row>7</xdr:row>
      <xdr:rowOff>228600</xdr:rowOff>
    </xdr:to>
    <xdr:sp macro="" textlink="">
      <xdr:nvSpPr>
        <xdr:cNvPr id="20" name="TextBox 19">
          <a:extLst>
            <a:ext uri="{FF2B5EF4-FFF2-40B4-BE49-F238E27FC236}">
              <a16:creationId xmlns:a16="http://schemas.microsoft.com/office/drawing/2014/main" id="{97A00905-1949-13CE-3A40-925BD090932F}"/>
            </a:ext>
          </a:extLst>
        </xdr:cNvPr>
        <xdr:cNvSpPr txBox="1"/>
      </xdr:nvSpPr>
      <xdr:spPr>
        <a:xfrm>
          <a:off x="9342438" y="1793875"/>
          <a:ext cx="2478881"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400" b="0">
              <a:solidFill>
                <a:srgbClr val="5E5480"/>
              </a:solidFill>
              <a:latin typeface="Segoe UI" panose="020B0502040204020203" pitchFamily="34" charset="0"/>
            </a:rPr>
            <a:t>in progress</a:t>
          </a:r>
        </a:p>
      </xdr:txBody>
    </xdr:sp>
    <xdr:clientData/>
  </xdr:twoCellAnchor>
  <xdr:twoCellAnchor editAs="absolute">
    <xdr:from>
      <xdr:col>11</xdr:col>
      <xdr:colOff>86519</xdr:colOff>
      <xdr:row>4</xdr:row>
      <xdr:rowOff>38100</xdr:rowOff>
    </xdr:from>
    <xdr:to>
      <xdr:col>16</xdr:col>
      <xdr:colOff>0</xdr:colOff>
      <xdr:row>7</xdr:row>
      <xdr:rowOff>266700</xdr:rowOff>
    </xdr:to>
    <xdr:sp macro="" textlink="">
      <xdr:nvSpPr>
        <xdr:cNvPr id="21" name="Rectangle: Rounded Corners 20">
          <a:extLst>
            <a:ext uri="{FF2B5EF4-FFF2-40B4-BE49-F238E27FC236}">
              <a16:creationId xmlns:a16="http://schemas.microsoft.com/office/drawing/2014/main" id="{0F7545FC-68EA-7556-E079-B8C8CA35CB5A}"/>
            </a:ext>
          </a:extLst>
        </xdr:cNvPr>
        <xdr:cNvSpPr/>
      </xdr:nvSpPr>
      <xdr:spPr>
        <a:xfrm>
          <a:off x="12049919" y="942975"/>
          <a:ext cx="3342481" cy="1143000"/>
        </a:xfrm>
        <a:prstGeom prst="roundRect">
          <a:avLst>
            <a:gd name="adj" fmla="val 12000"/>
          </a:avLst>
        </a:prstGeom>
        <a:solidFill>
          <a:srgbClr val="FFFFFF"/>
        </a:solidFill>
        <a:ln w="9525">
          <a:solidFill>
            <a:srgbClr val="C3BBFD"/>
          </a:solidFill>
        </a:ln>
        <a:effectLst>
          <a:outerShdw blurRad="63500" dist="35921" dir="2700002" rotWithShape="0">
            <a:scrgbClr r="0" g="0" b="0">
              <a:alpha val="3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264319</xdr:colOff>
      <xdr:row>5</xdr:row>
      <xdr:rowOff>50800</xdr:rowOff>
    </xdr:from>
    <xdr:to>
      <xdr:col>12</xdr:col>
      <xdr:colOff>86519</xdr:colOff>
      <xdr:row>6</xdr:row>
      <xdr:rowOff>254000</xdr:rowOff>
    </xdr:to>
    <xdr:sp macro="" textlink="">
      <xdr:nvSpPr>
        <xdr:cNvPr id="22" name="Oval 21">
          <a:extLst>
            <a:ext uri="{FF2B5EF4-FFF2-40B4-BE49-F238E27FC236}">
              <a16:creationId xmlns:a16="http://schemas.microsoft.com/office/drawing/2014/main" id="{1A5FA6E7-BE97-946B-43F5-85195BCAEA98}"/>
            </a:ext>
          </a:extLst>
        </xdr:cNvPr>
        <xdr:cNvSpPr/>
      </xdr:nvSpPr>
      <xdr:spPr>
        <a:xfrm>
          <a:off x="12227719" y="1260475"/>
          <a:ext cx="508000" cy="508000"/>
        </a:xfrm>
        <a:prstGeom prst="ellipse">
          <a:avLst/>
        </a:prstGeom>
        <a:solidFill>
          <a:srgbClr val="F43F5E"/>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2000">
              <a:solidFill>
                <a:srgbClr val="FFFFFF"/>
              </a:solidFill>
              <a:latin typeface="Segoe MDL2 Assets" panose="050A0102010101010101" pitchFamily="18" charset="0"/>
            </a:rPr>
            <a:t></a:t>
          </a:r>
        </a:p>
      </xdr:txBody>
    </xdr:sp>
    <xdr:clientData/>
  </xdr:twoCellAnchor>
  <xdr:twoCellAnchor editAs="absolute">
    <xdr:from>
      <xdr:col>12</xdr:col>
      <xdr:colOff>162719</xdr:colOff>
      <xdr:row>4</xdr:row>
      <xdr:rowOff>114300</xdr:rowOff>
    </xdr:from>
    <xdr:to>
      <xdr:col>15</xdr:col>
      <xdr:colOff>584200</xdr:colOff>
      <xdr:row>5</xdr:row>
      <xdr:rowOff>88900</xdr:rowOff>
    </xdr:to>
    <xdr:sp macro="" textlink="">
      <xdr:nvSpPr>
        <xdr:cNvPr id="23" name="TextBox 22">
          <a:extLst>
            <a:ext uri="{FF2B5EF4-FFF2-40B4-BE49-F238E27FC236}">
              <a16:creationId xmlns:a16="http://schemas.microsoft.com/office/drawing/2014/main" id="{A56EF685-1AF2-EA42-67E7-373651188187}"/>
            </a:ext>
          </a:extLst>
        </xdr:cNvPr>
        <xdr:cNvSpPr txBox="1"/>
      </xdr:nvSpPr>
      <xdr:spPr>
        <a:xfrm>
          <a:off x="12811919" y="1019175"/>
          <a:ext cx="2478881"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600" b="1">
              <a:solidFill>
                <a:srgbClr val="F43F5E"/>
              </a:solidFill>
              <a:latin typeface="Segoe UI" panose="020B0502040204020203" pitchFamily="34" charset="0"/>
            </a:rPr>
            <a:t>OVERDUE</a:t>
          </a:r>
        </a:p>
      </xdr:txBody>
    </xdr:sp>
    <xdr:clientData/>
  </xdr:twoCellAnchor>
  <xdr:twoCellAnchor editAs="absolute">
    <xdr:from>
      <xdr:col>12</xdr:col>
      <xdr:colOff>162719</xdr:colOff>
      <xdr:row>5</xdr:row>
      <xdr:rowOff>101600</xdr:rowOff>
    </xdr:from>
    <xdr:to>
      <xdr:col>15</xdr:col>
      <xdr:colOff>584200</xdr:colOff>
      <xdr:row>6</xdr:row>
      <xdr:rowOff>254000</xdr:rowOff>
    </xdr:to>
    <xdr:sp macro="" textlink="PivotData!$B$23">
      <xdr:nvSpPr>
        <xdr:cNvPr id="24" name="TextBox 23">
          <a:extLst>
            <a:ext uri="{FF2B5EF4-FFF2-40B4-BE49-F238E27FC236}">
              <a16:creationId xmlns:a16="http://schemas.microsoft.com/office/drawing/2014/main" id="{5B463766-3B2C-B4F8-E11B-4E8658884FF1}"/>
            </a:ext>
          </a:extLst>
        </xdr:cNvPr>
        <xdr:cNvSpPr txBox="1"/>
      </xdr:nvSpPr>
      <xdr:spPr>
        <a:xfrm>
          <a:off x="12811919" y="1311275"/>
          <a:ext cx="2478881"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fld id="{556564EF-2FE6-45FC-AA39-1F3F5C296250}" type="TxLink">
            <a:rPr lang="en-US" sz="2600" b="1" i="0" u="none" strike="noStrike">
              <a:solidFill>
                <a:srgbClr val="2E2257"/>
              </a:solidFill>
              <a:latin typeface="Segoe UI" panose="020B0502040204020203" pitchFamily="34" charset="0"/>
            </a:rPr>
            <a:pPr algn="ctr"/>
            <a:t>5</a:t>
          </a:fld>
          <a:endParaRPr lang="en-US" sz="2600" b="1">
            <a:solidFill>
              <a:srgbClr val="2E2257"/>
            </a:solidFill>
            <a:latin typeface="Segoe UI" panose="020B0502040204020203" pitchFamily="34" charset="0"/>
          </a:endParaRPr>
        </a:p>
      </xdr:txBody>
    </xdr:sp>
    <xdr:clientData/>
  </xdr:twoCellAnchor>
  <xdr:twoCellAnchor editAs="absolute">
    <xdr:from>
      <xdr:col>12</xdr:col>
      <xdr:colOff>162719</xdr:colOff>
      <xdr:row>6</xdr:row>
      <xdr:rowOff>279400</xdr:rowOff>
    </xdr:from>
    <xdr:to>
      <xdr:col>15</xdr:col>
      <xdr:colOff>584200</xdr:colOff>
      <xdr:row>7</xdr:row>
      <xdr:rowOff>228600</xdr:rowOff>
    </xdr:to>
    <xdr:sp macro="" textlink="">
      <xdr:nvSpPr>
        <xdr:cNvPr id="25" name="TextBox 24">
          <a:extLst>
            <a:ext uri="{FF2B5EF4-FFF2-40B4-BE49-F238E27FC236}">
              <a16:creationId xmlns:a16="http://schemas.microsoft.com/office/drawing/2014/main" id="{05D58F9B-6345-DB0C-D57A-E7B6205EDD89}"/>
            </a:ext>
          </a:extLst>
        </xdr:cNvPr>
        <xdr:cNvSpPr txBox="1"/>
      </xdr:nvSpPr>
      <xdr:spPr>
        <a:xfrm>
          <a:off x="12811919" y="1793875"/>
          <a:ext cx="2478881"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400" b="0">
              <a:solidFill>
                <a:srgbClr val="5E5480"/>
              </a:solidFill>
              <a:latin typeface="Segoe UI" panose="020B0502040204020203" pitchFamily="34" charset="0"/>
            </a:rPr>
            <a:t>past due, not completed</a:t>
          </a:r>
        </a:p>
      </xdr:txBody>
    </xdr:sp>
    <xdr:clientData/>
  </xdr:twoCellAnchor>
  <xdr:twoCellAnchor editAs="absolute">
    <xdr:from>
      <xdr:col>1</xdr:col>
      <xdr:colOff>127000</xdr:colOff>
      <xdr:row>8</xdr:row>
      <xdr:rowOff>38100</xdr:rowOff>
    </xdr:from>
    <xdr:to>
      <xdr:col>6</xdr:col>
      <xdr:colOff>233363</xdr:colOff>
      <xdr:row>12</xdr:row>
      <xdr:rowOff>238125</xdr:rowOff>
    </xdr:to>
    <xdr:sp macro="" textlink="">
      <xdr:nvSpPr>
        <xdr:cNvPr id="26" name="Rectangle: Rounded Corners 25">
          <a:extLst>
            <a:ext uri="{FF2B5EF4-FFF2-40B4-BE49-F238E27FC236}">
              <a16:creationId xmlns:a16="http://schemas.microsoft.com/office/drawing/2014/main" id="{6983E4E6-7835-C98D-3298-DB14180B90CD}"/>
            </a:ext>
          </a:extLst>
        </xdr:cNvPr>
        <xdr:cNvSpPr/>
      </xdr:nvSpPr>
      <xdr:spPr>
        <a:xfrm>
          <a:off x="1641475" y="2162175"/>
          <a:ext cx="6811963" cy="1304925"/>
        </a:xfrm>
        <a:prstGeom prst="roundRect">
          <a:avLst>
            <a:gd name="adj" fmla="val 12000"/>
          </a:avLst>
        </a:prstGeom>
        <a:solidFill>
          <a:srgbClr val="FFFFFF"/>
        </a:solidFill>
        <a:ln w="9525">
          <a:solidFill>
            <a:srgbClr val="C3BBFD"/>
          </a:solidFill>
        </a:ln>
        <a:effectLst>
          <a:outerShdw blurRad="63500" dist="35921" dir="2700002" rotWithShape="0">
            <a:scrgbClr r="0" g="0" b="0">
              <a:alpha val="3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431800</xdr:colOff>
      <xdr:row>8</xdr:row>
      <xdr:rowOff>30163</xdr:rowOff>
    </xdr:from>
    <xdr:to>
      <xdr:col>1</xdr:col>
      <xdr:colOff>1905000</xdr:colOff>
      <xdr:row>13</xdr:row>
      <xdr:rowOff>122238</xdr:rowOff>
    </xdr:to>
    <xdr:graphicFrame macro="">
      <xdr:nvGraphicFramePr>
        <xdr:cNvPr id="27" name="Chart 26">
          <a:extLst>
            <a:ext uri="{FF2B5EF4-FFF2-40B4-BE49-F238E27FC236}">
              <a16:creationId xmlns:a16="http://schemas.microsoft.com/office/drawing/2014/main" id="{B2309812-1E70-2DCB-D968-F169BAB4E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xdr:col>
      <xdr:colOff>652780</xdr:colOff>
      <xdr:row>9</xdr:row>
      <xdr:rowOff>271463</xdr:rowOff>
    </xdr:from>
    <xdr:to>
      <xdr:col>1</xdr:col>
      <xdr:colOff>1684020</xdr:colOff>
      <xdr:row>11</xdr:row>
      <xdr:rowOff>157163</xdr:rowOff>
    </xdr:to>
    <xdr:sp macro="" textlink="PivotData!$B$24">
      <xdr:nvSpPr>
        <xdr:cNvPr id="28" name="TextBox 27">
          <a:extLst>
            <a:ext uri="{FF2B5EF4-FFF2-40B4-BE49-F238E27FC236}">
              <a16:creationId xmlns:a16="http://schemas.microsoft.com/office/drawing/2014/main" id="{7E578879-33FB-1E25-8704-CD49DDF18FDC}"/>
            </a:ext>
          </a:extLst>
        </xdr:cNvPr>
        <xdr:cNvSpPr txBox="1"/>
      </xdr:nvSpPr>
      <xdr:spPr>
        <a:xfrm>
          <a:off x="2167255" y="2671763"/>
          <a:ext cx="1031240" cy="4381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fld id="{12831A2D-4989-4297-AAEF-7E1AE0F237B3}" type="TxLink">
            <a:rPr lang="en-US" sz="2300" b="1" i="0" u="none" strike="noStrike">
              <a:solidFill>
                <a:srgbClr val="2E2257"/>
              </a:solidFill>
              <a:latin typeface="Segoe UI" panose="020B0502040204020203" pitchFamily="34" charset="0"/>
            </a:rPr>
            <a:pPr algn="ctr"/>
            <a:t>86%</a:t>
          </a:fld>
          <a:endParaRPr lang="en-US" sz="2300" b="1">
            <a:solidFill>
              <a:srgbClr val="2E2257"/>
            </a:solidFill>
            <a:latin typeface="Segoe UI" panose="020B0502040204020203" pitchFamily="34" charset="0"/>
          </a:endParaRPr>
        </a:p>
      </xdr:txBody>
    </xdr:sp>
    <xdr:clientData/>
  </xdr:twoCellAnchor>
  <xdr:twoCellAnchor editAs="absolute">
    <xdr:from>
      <xdr:col>1</xdr:col>
      <xdr:colOff>1955800</xdr:colOff>
      <xdr:row>9</xdr:row>
      <xdr:rowOff>66675</xdr:rowOff>
    </xdr:from>
    <xdr:to>
      <xdr:col>5</xdr:col>
      <xdr:colOff>627063</xdr:colOff>
      <xdr:row>10</xdr:row>
      <xdr:rowOff>19050</xdr:rowOff>
    </xdr:to>
    <xdr:sp macro="" textlink="">
      <xdr:nvSpPr>
        <xdr:cNvPr id="29" name="TextBox 28">
          <a:extLst>
            <a:ext uri="{FF2B5EF4-FFF2-40B4-BE49-F238E27FC236}">
              <a16:creationId xmlns:a16="http://schemas.microsoft.com/office/drawing/2014/main" id="{90E80B8B-BFC6-56E3-A2E3-A44D61C80215}"/>
            </a:ext>
          </a:extLst>
        </xdr:cNvPr>
        <xdr:cNvSpPr txBox="1"/>
      </xdr:nvSpPr>
      <xdr:spPr>
        <a:xfrm>
          <a:off x="3470275" y="2466975"/>
          <a:ext cx="4729163"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400" b="1">
              <a:solidFill>
                <a:srgbClr val="2E2257"/>
              </a:solidFill>
              <a:latin typeface="Segoe UI" panose="020B0502040204020203" pitchFamily="34" charset="0"/>
            </a:rPr>
            <a:t>AVG PROGRESS</a:t>
          </a:r>
        </a:p>
      </xdr:txBody>
    </xdr:sp>
    <xdr:clientData/>
  </xdr:twoCellAnchor>
  <xdr:twoCellAnchor editAs="absolute">
    <xdr:from>
      <xdr:col>1</xdr:col>
      <xdr:colOff>1955800</xdr:colOff>
      <xdr:row>10</xdr:row>
      <xdr:rowOff>95250</xdr:rowOff>
    </xdr:from>
    <xdr:to>
      <xdr:col>5</xdr:col>
      <xdr:colOff>627063</xdr:colOff>
      <xdr:row>11</xdr:row>
      <xdr:rowOff>22225</xdr:rowOff>
    </xdr:to>
    <xdr:sp macro="" textlink="">
      <xdr:nvSpPr>
        <xdr:cNvPr id="30" name="TextBox 29">
          <a:extLst>
            <a:ext uri="{FF2B5EF4-FFF2-40B4-BE49-F238E27FC236}">
              <a16:creationId xmlns:a16="http://schemas.microsoft.com/office/drawing/2014/main" id="{0CCBD57C-04EE-0052-5CDA-7E9CC1925242}"/>
            </a:ext>
          </a:extLst>
        </xdr:cNvPr>
        <xdr:cNvSpPr txBox="1"/>
      </xdr:nvSpPr>
      <xdr:spPr>
        <a:xfrm>
          <a:off x="3470275" y="2771775"/>
          <a:ext cx="4729163"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100" b="0">
              <a:solidFill>
                <a:srgbClr val="5E5480"/>
              </a:solidFill>
              <a:latin typeface="Segoe UI" panose="020B0502040204020203" pitchFamily="34" charset="0"/>
            </a:rPr>
            <a:t>average % complete</a:t>
          </a:r>
        </a:p>
      </xdr:txBody>
    </xdr:sp>
    <xdr:clientData/>
  </xdr:twoCellAnchor>
  <xdr:twoCellAnchor editAs="absolute">
    <xdr:from>
      <xdr:col>1</xdr:col>
      <xdr:colOff>1955800</xdr:colOff>
      <xdr:row>11</xdr:row>
      <xdr:rowOff>73025</xdr:rowOff>
    </xdr:from>
    <xdr:to>
      <xdr:col>5</xdr:col>
      <xdr:colOff>627063</xdr:colOff>
      <xdr:row>12</xdr:row>
      <xdr:rowOff>0</xdr:rowOff>
    </xdr:to>
    <xdr:sp macro="" textlink="PivotData!$G$24">
      <xdr:nvSpPr>
        <xdr:cNvPr id="31" name="TextBox 30">
          <a:extLst>
            <a:ext uri="{FF2B5EF4-FFF2-40B4-BE49-F238E27FC236}">
              <a16:creationId xmlns:a16="http://schemas.microsoft.com/office/drawing/2014/main" id="{238570CF-8DE0-119D-F358-DFF9CF7CEA53}"/>
            </a:ext>
          </a:extLst>
        </xdr:cNvPr>
        <xdr:cNvSpPr txBox="1"/>
      </xdr:nvSpPr>
      <xdr:spPr>
        <a:xfrm>
          <a:off x="3470275" y="3025775"/>
          <a:ext cx="4729163"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fld id="{12540257-5CF2-42AB-83CC-B3A1F5265FC3}" type="TxLink">
            <a:rPr lang="en-US" sz="1100" b="1" i="0" u="none" strike="noStrike">
              <a:solidFill>
                <a:srgbClr val="5E5480"/>
              </a:solidFill>
              <a:latin typeface="Segoe UI" panose="020B0502040204020203" pitchFamily="34" charset="0"/>
            </a:rPr>
            <a:pPr algn="ctr"/>
            <a:t>across 9 projects</a:t>
          </a:fld>
          <a:endParaRPr lang="en-US" sz="1100" b="1">
            <a:solidFill>
              <a:srgbClr val="5E5480"/>
            </a:solidFill>
            <a:latin typeface="Segoe UI" panose="020B0502040204020203" pitchFamily="34" charset="0"/>
          </a:endParaRPr>
        </a:p>
      </xdr:txBody>
    </xdr:sp>
    <xdr:clientData/>
  </xdr:twoCellAnchor>
  <xdr:twoCellAnchor editAs="absolute">
    <xdr:from>
      <xdr:col>6</xdr:col>
      <xdr:colOff>360363</xdr:colOff>
      <xdr:row>8</xdr:row>
      <xdr:rowOff>38100</xdr:rowOff>
    </xdr:from>
    <xdr:to>
      <xdr:col>16</xdr:col>
      <xdr:colOff>0</xdr:colOff>
      <xdr:row>12</xdr:row>
      <xdr:rowOff>238125</xdr:rowOff>
    </xdr:to>
    <xdr:sp macro="" textlink="">
      <xdr:nvSpPr>
        <xdr:cNvPr id="32" name="Rectangle: Rounded Corners 31">
          <a:extLst>
            <a:ext uri="{FF2B5EF4-FFF2-40B4-BE49-F238E27FC236}">
              <a16:creationId xmlns:a16="http://schemas.microsoft.com/office/drawing/2014/main" id="{E4815300-A87C-AF02-4153-4A65ED08EBB5}"/>
            </a:ext>
          </a:extLst>
        </xdr:cNvPr>
        <xdr:cNvSpPr/>
      </xdr:nvSpPr>
      <xdr:spPr>
        <a:xfrm>
          <a:off x="8580438" y="2162175"/>
          <a:ext cx="6811962" cy="1304925"/>
        </a:xfrm>
        <a:prstGeom prst="roundRect">
          <a:avLst>
            <a:gd name="adj" fmla="val 12000"/>
          </a:avLst>
        </a:prstGeom>
        <a:solidFill>
          <a:srgbClr val="FFFFFF"/>
        </a:solidFill>
        <a:ln w="9525">
          <a:solidFill>
            <a:srgbClr val="C3BBFD"/>
          </a:solidFill>
        </a:ln>
        <a:effectLst>
          <a:outerShdw blurRad="63500" dist="35921" dir="2700002" rotWithShape="0">
            <a:scrgbClr r="0" g="0" b="0">
              <a:alpha val="3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26988</xdr:colOff>
      <xdr:row>8</xdr:row>
      <xdr:rowOff>165100</xdr:rowOff>
    </xdr:from>
    <xdr:to>
      <xdr:col>15</xdr:col>
      <xdr:colOff>304801</xdr:colOff>
      <xdr:row>9</xdr:row>
      <xdr:rowOff>117475</xdr:rowOff>
    </xdr:to>
    <xdr:sp macro="" textlink="">
      <xdr:nvSpPr>
        <xdr:cNvPr id="33" name="TextBox 32">
          <a:extLst>
            <a:ext uri="{FF2B5EF4-FFF2-40B4-BE49-F238E27FC236}">
              <a16:creationId xmlns:a16="http://schemas.microsoft.com/office/drawing/2014/main" id="{AF6912D1-6F70-195B-F0CE-E869F764D3B0}"/>
            </a:ext>
          </a:extLst>
        </xdr:cNvPr>
        <xdr:cNvSpPr txBox="1"/>
      </xdr:nvSpPr>
      <xdr:spPr>
        <a:xfrm>
          <a:off x="8961438" y="2289175"/>
          <a:ext cx="6049963"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r>
            <a:rPr lang="en-US" sz="1300" b="1">
              <a:solidFill>
                <a:srgbClr val="2E2257"/>
              </a:solidFill>
              <a:latin typeface="Segoe UI" panose="020B0502040204020203" pitchFamily="34" charset="0"/>
            </a:rPr>
            <a:t>COMPLETION RATE</a:t>
          </a:r>
        </a:p>
      </xdr:txBody>
    </xdr:sp>
    <xdr:clientData/>
  </xdr:twoCellAnchor>
  <xdr:twoCellAnchor editAs="absolute">
    <xdr:from>
      <xdr:col>7</xdr:col>
      <xdr:colOff>26988</xdr:colOff>
      <xdr:row>9</xdr:row>
      <xdr:rowOff>92075</xdr:rowOff>
    </xdr:from>
    <xdr:to>
      <xdr:col>15</xdr:col>
      <xdr:colOff>304801</xdr:colOff>
      <xdr:row>11</xdr:row>
      <xdr:rowOff>22225</xdr:rowOff>
    </xdr:to>
    <xdr:sp macro="" textlink="PivotData!$B$25">
      <xdr:nvSpPr>
        <xdr:cNvPr id="34" name="TextBox 33">
          <a:extLst>
            <a:ext uri="{FF2B5EF4-FFF2-40B4-BE49-F238E27FC236}">
              <a16:creationId xmlns:a16="http://schemas.microsoft.com/office/drawing/2014/main" id="{3C0510AD-71C6-36D8-018F-79AFA7A4245E}"/>
            </a:ext>
          </a:extLst>
        </xdr:cNvPr>
        <xdr:cNvSpPr txBox="1"/>
      </xdr:nvSpPr>
      <xdr:spPr>
        <a:xfrm>
          <a:off x="8961438" y="2492375"/>
          <a:ext cx="6049963" cy="482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fld id="{502C5B43-98A1-4F70-B6B9-7A32AD429B21}" type="TxLink">
            <a:rPr lang="en-US" sz="3000" b="1" i="0" u="none" strike="noStrike">
              <a:solidFill>
                <a:srgbClr val="2E2257"/>
              </a:solidFill>
              <a:latin typeface="Segoe UI" panose="020B0502040204020203" pitchFamily="34" charset="0"/>
            </a:rPr>
            <a:pPr algn="ctr"/>
            <a:t>44%</a:t>
          </a:fld>
          <a:endParaRPr lang="en-US" sz="3000" b="1">
            <a:solidFill>
              <a:srgbClr val="2E2257"/>
            </a:solidFill>
            <a:latin typeface="Segoe UI" panose="020B0502040204020203" pitchFamily="34" charset="0"/>
          </a:endParaRPr>
        </a:p>
      </xdr:txBody>
    </xdr:sp>
    <xdr:clientData/>
  </xdr:twoCellAnchor>
  <xdr:twoCellAnchor editAs="absolute">
    <xdr:from>
      <xdr:col>6</xdr:col>
      <xdr:colOff>652463</xdr:colOff>
      <xdr:row>10</xdr:row>
      <xdr:rowOff>234950</xdr:rowOff>
    </xdr:from>
    <xdr:to>
      <xdr:col>15</xdr:col>
      <xdr:colOff>393701</xdr:colOff>
      <xdr:row>12</xdr:row>
      <xdr:rowOff>12700</xdr:rowOff>
    </xdr:to>
    <xdr:graphicFrame macro="">
      <xdr:nvGraphicFramePr>
        <xdr:cNvPr id="35" name="Chart 34">
          <a:extLst>
            <a:ext uri="{FF2B5EF4-FFF2-40B4-BE49-F238E27FC236}">
              <a16:creationId xmlns:a16="http://schemas.microsoft.com/office/drawing/2014/main" id="{9E0DB034-1860-32DD-3583-CB123FEA6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7</xdr:col>
      <xdr:colOff>26988</xdr:colOff>
      <xdr:row>11</xdr:row>
      <xdr:rowOff>260350</xdr:rowOff>
    </xdr:from>
    <xdr:to>
      <xdr:col>15</xdr:col>
      <xdr:colOff>304801</xdr:colOff>
      <xdr:row>12</xdr:row>
      <xdr:rowOff>161925</xdr:rowOff>
    </xdr:to>
    <xdr:sp macro="" textlink="PivotData!$G$25">
      <xdr:nvSpPr>
        <xdr:cNvPr id="36" name="TextBox 35">
          <a:extLst>
            <a:ext uri="{FF2B5EF4-FFF2-40B4-BE49-F238E27FC236}">
              <a16:creationId xmlns:a16="http://schemas.microsoft.com/office/drawing/2014/main" id="{F3BA2EF0-43E2-9201-CEE2-FC8B8943BD13}"/>
            </a:ext>
          </a:extLst>
        </xdr:cNvPr>
        <xdr:cNvSpPr txBox="1"/>
      </xdr:nvSpPr>
      <xdr:spPr>
        <a:xfrm>
          <a:off x="8961438" y="3213100"/>
          <a:ext cx="6049963"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noAutofit/>
        </a:bodyPr>
        <a:lstStyle/>
        <a:p>
          <a:pPr algn="ctr"/>
          <a:fld id="{D5EC1342-F390-40B1-92A8-0E6C80650013}" type="TxLink">
            <a:rPr lang="en-US" sz="1000" b="0" i="0" u="none" strike="noStrike">
              <a:solidFill>
                <a:srgbClr val="5E5480"/>
              </a:solidFill>
              <a:latin typeface="Segoe UI" panose="020B0502040204020203" pitchFamily="34" charset="0"/>
            </a:rPr>
            <a:pPr algn="ctr"/>
            <a:t>4 of 9 projects completed</a:t>
          </a:fld>
          <a:endParaRPr lang="en-US" sz="1000" b="0">
            <a:solidFill>
              <a:srgbClr val="5E5480"/>
            </a:solidFill>
            <a:latin typeface="Segoe UI" panose="020B0502040204020203" pitchFamily="34" charset="0"/>
          </a:endParaRPr>
        </a:p>
      </xdr:txBody>
    </xdr:sp>
    <xdr:clientData/>
  </xdr:twoCellAnchor>
  <xdr:twoCellAnchor editAs="absolute">
    <xdr:from>
      <xdr:col>1</xdr:col>
      <xdr:colOff>127000</xdr:colOff>
      <xdr:row>14</xdr:row>
      <xdr:rowOff>0</xdr:rowOff>
    </xdr:from>
    <xdr:to>
      <xdr:col>4</xdr:col>
      <xdr:colOff>530225</xdr:colOff>
      <xdr:row>15</xdr:row>
      <xdr:rowOff>0</xdr:rowOff>
    </xdr:to>
    <xdr:sp macro="" textlink="">
      <xdr:nvSpPr>
        <xdr:cNvPr id="37" name="TextBox 36">
          <a:extLst>
            <a:ext uri="{FF2B5EF4-FFF2-40B4-BE49-F238E27FC236}">
              <a16:creationId xmlns:a16="http://schemas.microsoft.com/office/drawing/2014/main" id="{D453B237-49D3-D63A-3A1C-9CC292BC58A5}"/>
            </a:ext>
          </a:extLst>
        </xdr:cNvPr>
        <xdr:cNvSpPr txBox="1"/>
      </xdr:nvSpPr>
      <xdr:spPr>
        <a:xfrm>
          <a:off x="1641475" y="3686175"/>
          <a:ext cx="5080000" cy="180975"/>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bIns="0" rtlCol="0" anchor="b"/>
        <a:lstStyle/>
        <a:p>
          <a:r>
            <a:rPr lang="en-US" sz="1100" b="1">
              <a:solidFill>
                <a:srgbClr val="2E2257"/>
              </a:solidFill>
              <a:latin typeface="Segoe UI" panose="020B0502040204020203" pitchFamily="34" charset="0"/>
            </a:rPr>
            <a:t>FILTERS</a:t>
          </a:r>
        </a:p>
      </xdr:txBody>
    </xdr:sp>
    <xdr:clientData/>
  </xdr:twoCellAnchor>
  <xdr:twoCellAnchor editAs="absolute">
    <xdr:from>
      <xdr:col>1</xdr:col>
      <xdr:colOff>127000</xdr:colOff>
      <xdr:row>15</xdr:row>
      <xdr:rowOff>12700</xdr:rowOff>
    </xdr:from>
    <xdr:to>
      <xdr:col>16</xdr:col>
      <xdr:colOff>0</xdr:colOff>
      <xdr:row>15</xdr:row>
      <xdr:rowOff>12700</xdr:rowOff>
    </xdr:to>
    <xdr:cxnSp macro="">
      <xdr:nvCxnSpPr>
        <xdr:cNvPr id="38" name="Straight Connector 37">
          <a:extLst>
            <a:ext uri="{FF2B5EF4-FFF2-40B4-BE49-F238E27FC236}">
              <a16:creationId xmlns:a16="http://schemas.microsoft.com/office/drawing/2014/main" id="{9C3CF3D3-BA18-295C-2C68-C187BA68E424}"/>
            </a:ext>
          </a:extLst>
        </xdr:cNvPr>
        <xdr:cNvCxnSpPr/>
      </xdr:nvCxnSpPr>
      <xdr:spPr>
        <a:xfrm>
          <a:off x="1641475" y="3879850"/>
          <a:ext cx="13750925" cy="0"/>
        </a:xfrm>
        <a:prstGeom prst="line">
          <a:avLst/>
        </a:prstGeom>
        <a:ln w="25400">
          <a:solidFill>
            <a:srgbClr val="7C3AED"/>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xdr:col>
      <xdr:colOff>127000</xdr:colOff>
      <xdr:row>15</xdr:row>
      <xdr:rowOff>38100</xdr:rowOff>
    </xdr:from>
    <xdr:to>
      <xdr:col>16</xdr:col>
      <xdr:colOff>0</xdr:colOff>
      <xdr:row>21</xdr:row>
      <xdr:rowOff>142875</xdr:rowOff>
    </xdr:to>
    <mc:AlternateContent xmlns:mc="http://schemas.openxmlformats.org/markup-compatibility/2006" xmlns:tsle="http://schemas.microsoft.com/office/drawing/2012/timeslicer">
      <mc:Choice Requires="tsle">
        <xdr:graphicFrame macro="">
          <xdr:nvGraphicFramePr>
            <xdr:cNvPr id="39" name="tlStartDate">
              <a:extLst>
                <a:ext uri="{FF2B5EF4-FFF2-40B4-BE49-F238E27FC236}">
                  <a16:creationId xmlns:a16="http://schemas.microsoft.com/office/drawing/2014/main" id="{EABBDE3F-1A33-49C2-43F3-EDACCF138C4F}"/>
                </a:ext>
              </a:extLst>
            </xdr:cNvPr>
            <xdr:cNvGraphicFramePr/>
          </xdr:nvGraphicFramePr>
          <xdr:xfrm>
            <a:off x="0" y="0"/>
            <a:ext cx="0" cy="0"/>
          </xdr:xfrm>
          <a:graphic>
            <a:graphicData uri="http://schemas.microsoft.com/office/drawing/2012/timeslicer">
              <tsle:timeslicer name="tlStartDate"/>
            </a:graphicData>
          </a:graphic>
        </xdr:graphicFrame>
      </mc:Choice>
      <mc:Fallback xmlns="">
        <xdr:sp macro="" textlink="">
          <xdr:nvSpPr>
            <xdr:cNvPr id="0" name=""/>
            <xdr:cNvSpPr>
              <a:spLocks noTextEdit="1"/>
            </xdr:cNvSpPr>
          </xdr:nvSpPr>
          <xdr:spPr>
            <a:xfrm>
              <a:off x="1641475" y="3905250"/>
              <a:ext cx="13750925" cy="11906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1</xdr:col>
      <xdr:colOff>127000</xdr:colOff>
      <xdr:row>22</xdr:row>
      <xdr:rowOff>38100</xdr:rowOff>
    </xdr:from>
    <xdr:to>
      <xdr:col>1</xdr:col>
      <xdr:colOff>2312987</xdr:colOff>
      <xdr:row>33</xdr:row>
      <xdr:rowOff>142875</xdr:rowOff>
    </xdr:to>
    <mc:AlternateContent xmlns:mc="http://schemas.openxmlformats.org/markup-compatibility/2006" xmlns:a14="http://schemas.microsoft.com/office/drawing/2010/main">
      <mc:Choice Requires="a14">
        <xdr:graphicFrame macro="">
          <xdr:nvGraphicFramePr>
            <xdr:cNvPr id="40" name="slStatus">
              <a:extLst>
                <a:ext uri="{FF2B5EF4-FFF2-40B4-BE49-F238E27FC236}">
                  <a16:creationId xmlns:a16="http://schemas.microsoft.com/office/drawing/2014/main" id="{48B94892-B31C-92F4-EAD3-DC469E812863}"/>
                </a:ext>
              </a:extLst>
            </xdr:cNvPr>
            <xdr:cNvGraphicFramePr/>
          </xdr:nvGraphicFramePr>
          <xdr:xfrm>
            <a:off x="0" y="0"/>
            <a:ext cx="0" cy="0"/>
          </xdr:xfrm>
          <a:graphic>
            <a:graphicData uri="http://schemas.microsoft.com/office/drawing/2010/slicer">
              <sle:slicer xmlns:sle="http://schemas.microsoft.com/office/drawing/2010/slicer" name="slStatus"/>
            </a:graphicData>
          </a:graphic>
        </xdr:graphicFrame>
      </mc:Choice>
      <mc:Fallback xmlns="">
        <xdr:sp macro="" textlink="">
          <xdr:nvSpPr>
            <xdr:cNvPr id="0" name=""/>
            <xdr:cNvSpPr>
              <a:spLocks noTextEdit="1"/>
            </xdr:cNvSpPr>
          </xdr:nvSpPr>
          <xdr:spPr>
            <a:xfrm>
              <a:off x="1641475" y="5172075"/>
              <a:ext cx="2185987"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125412</xdr:colOff>
      <xdr:row>22</xdr:row>
      <xdr:rowOff>38100</xdr:rowOff>
    </xdr:from>
    <xdr:to>
      <xdr:col>3</xdr:col>
      <xdr:colOff>1063624</xdr:colOff>
      <xdr:row>33</xdr:row>
      <xdr:rowOff>142875</xdr:rowOff>
    </xdr:to>
    <mc:AlternateContent xmlns:mc="http://schemas.openxmlformats.org/markup-compatibility/2006" xmlns:a14="http://schemas.microsoft.com/office/drawing/2010/main">
      <mc:Choice Requires="a14">
        <xdr:graphicFrame macro="">
          <xdr:nvGraphicFramePr>
            <xdr:cNvPr id="41" name="slHealth">
              <a:extLst>
                <a:ext uri="{FF2B5EF4-FFF2-40B4-BE49-F238E27FC236}">
                  <a16:creationId xmlns:a16="http://schemas.microsoft.com/office/drawing/2014/main" id="{795AB06B-0E5F-DB3D-515B-E0A904CD92FB}"/>
                </a:ext>
              </a:extLst>
            </xdr:cNvPr>
            <xdr:cNvGraphicFramePr/>
          </xdr:nvGraphicFramePr>
          <xdr:xfrm>
            <a:off x="0" y="0"/>
            <a:ext cx="0" cy="0"/>
          </xdr:xfrm>
          <a:graphic>
            <a:graphicData uri="http://schemas.microsoft.com/office/drawing/2010/slicer">
              <sle:slicer xmlns:sle="http://schemas.microsoft.com/office/drawing/2010/slicer" name="slHealth"/>
            </a:graphicData>
          </a:graphic>
        </xdr:graphicFrame>
      </mc:Choice>
      <mc:Fallback xmlns="">
        <xdr:sp macro="" textlink="">
          <xdr:nvSpPr>
            <xdr:cNvPr id="0" name=""/>
            <xdr:cNvSpPr>
              <a:spLocks noTextEdit="1"/>
            </xdr:cNvSpPr>
          </xdr:nvSpPr>
          <xdr:spPr>
            <a:xfrm>
              <a:off x="3954462" y="5172075"/>
              <a:ext cx="2185987"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76200</xdr:colOff>
      <xdr:row>22</xdr:row>
      <xdr:rowOff>38100</xdr:rowOff>
    </xdr:from>
    <xdr:to>
      <xdr:col>6</xdr:col>
      <xdr:colOff>233362</xdr:colOff>
      <xdr:row>33</xdr:row>
      <xdr:rowOff>142875</xdr:rowOff>
    </xdr:to>
    <mc:AlternateContent xmlns:mc="http://schemas.openxmlformats.org/markup-compatibility/2006" xmlns:a14="http://schemas.microsoft.com/office/drawing/2010/main">
      <mc:Choice Requires="a14">
        <xdr:graphicFrame macro="">
          <xdr:nvGraphicFramePr>
            <xdr:cNvPr id="42" name="slLOB">
              <a:extLst>
                <a:ext uri="{FF2B5EF4-FFF2-40B4-BE49-F238E27FC236}">
                  <a16:creationId xmlns:a16="http://schemas.microsoft.com/office/drawing/2014/main" id="{DF2FB4A1-2209-E67C-3DC5-C9D9A36E84DD}"/>
                </a:ext>
              </a:extLst>
            </xdr:cNvPr>
            <xdr:cNvGraphicFramePr/>
          </xdr:nvGraphicFramePr>
          <xdr:xfrm>
            <a:off x="0" y="0"/>
            <a:ext cx="0" cy="0"/>
          </xdr:xfrm>
          <a:graphic>
            <a:graphicData uri="http://schemas.microsoft.com/office/drawing/2010/slicer">
              <sle:slicer xmlns:sle="http://schemas.microsoft.com/office/drawing/2010/slicer" name="slLOB"/>
            </a:graphicData>
          </a:graphic>
        </xdr:graphicFrame>
      </mc:Choice>
      <mc:Fallback xmlns="">
        <xdr:sp macro="" textlink="">
          <xdr:nvSpPr>
            <xdr:cNvPr id="0" name=""/>
            <xdr:cNvSpPr>
              <a:spLocks noTextEdit="1"/>
            </xdr:cNvSpPr>
          </xdr:nvSpPr>
          <xdr:spPr>
            <a:xfrm>
              <a:off x="6267450" y="5172075"/>
              <a:ext cx="2185987"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360362</xdr:colOff>
      <xdr:row>22</xdr:row>
      <xdr:rowOff>38100</xdr:rowOff>
    </xdr:from>
    <xdr:to>
      <xdr:col>9</xdr:col>
      <xdr:colOff>269874</xdr:colOff>
      <xdr:row>33</xdr:row>
      <xdr:rowOff>142875</xdr:rowOff>
    </xdr:to>
    <mc:AlternateContent xmlns:mc="http://schemas.openxmlformats.org/markup-compatibility/2006" xmlns:a14="http://schemas.microsoft.com/office/drawing/2010/main">
      <mc:Choice Requires="a14">
        <xdr:graphicFrame macro="">
          <xdr:nvGraphicFramePr>
            <xdr:cNvPr id="43" name="slPriority">
              <a:extLst>
                <a:ext uri="{FF2B5EF4-FFF2-40B4-BE49-F238E27FC236}">
                  <a16:creationId xmlns:a16="http://schemas.microsoft.com/office/drawing/2014/main" id="{955AAE8C-94B0-F4CE-DCE5-7F198914E70D}"/>
                </a:ext>
              </a:extLst>
            </xdr:cNvPr>
            <xdr:cNvGraphicFramePr/>
          </xdr:nvGraphicFramePr>
          <xdr:xfrm>
            <a:off x="0" y="0"/>
            <a:ext cx="0" cy="0"/>
          </xdr:xfrm>
          <a:graphic>
            <a:graphicData uri="http://schemas.microsoft.com/office/drawing/2010/slicer">
              <sle:slicer xmlns:sle="http://schemas.microsoft.com/office/drawing/2010/slicer" name="slPriority"/>
            </a:graphicData>
          </a:graphic>
        </xdr:graphicFrame>
      </mc:Choice>
      <mc:Fallback xmlns="">
        <xdr:sp macro="" textlink="">
          <xdr:nvSpPr>
            <xdr:cNvPr id="0" name=""/>
            <xdr:cNvSpPr>
              <a:spLocks noTextEdit="1"/>
            </xdr:cNvSpPr>
          </xdr:nvSpPr>
          <xdr:spPr>
            <a:xfrm>
              <a:off x="8580437" y="5172075"/>
              <a:ext cx="2185987"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396875</xdr:colOff>
      <xdr:row>22</xdr:row>
      <xdr:rowOff>38100</xdr:rowOff>
    </xdr:from>
    <xdr:to>
      <xdr:col>12</xdr:col>
      <xdr:colOff>430212</xdr:colOff>
      <xdr:row>33</xdr:row>
      <xdr:rowOff>142875</xdr:rowOff>
    </xdr:to>
    <mc:AlternateContent xmlns:mc="http://schemas.openxmlformats.org/markup-compatibility/2006" xmlns:a14="http://schemas.microsoft.com/office/drawing/2010/main">
      <mc:Choice Requires="a14">
        <xdr:graphicFrame macro="">
          <xdr:nvGraphicFramePr>
            <xdr:cNvPr id="44" name="slCategory">
              <a:extLst>
                <a:ext uri="{FF2B5EF4-FFF2-40B4-BE49-F238E27FC236}">
                  <a16:creationId xmlns:a16="http://schemas.microsoft.com/office/drawing/2014/main" id="{CA9816FA-0F0B-F9F2-C7EA-FCA0B4E18E45}"/>
                </a:ext>
              </a:extLst>
            </xdr:cNvPr>
            <xdr:cNvGraphicFramePr/>
          </xdr:nvGraphicFramePr>
          <xdr:xfrm>
            <a:off x="0" y="0"/>
            <a:ext cx="0" cy="0"/>
          </xdr:xfrm>
          <a:graphic>
            <a:graphicData uri="http://schemas.microsoft.com/office/drawing/2010/slicer">
              <sle:slicer xmlns:sle="http://schemas.microsoft.com/office/drawing/2010/slicer" name="slCategory"/>
            </a:graphicData>
          </a:graphic>
        </xdr:graphicFrame>
      </mc:Choice>
      <mc:Fallback xmlns="">
        <xdr:sp macro="" textlink="">
          <xdr:nvSpPr>
            <xdr:cNvPr id="0" name=""/>
            <xdr:cNvSpPr>
              <a:spLocks noTextEdit="1"/>
            </xdr:cNvSpPr>
          </xdr:nvSpPr>
          <xdr:spPr>
            <a:xfrm>
              <a:off x="10893425" y="5172075"/>
              <a:ext cx="2185987"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557212</xdr:colOff>
      <xdr:row>22</xdr:row>
      <xdr:rowOff>38100</xdr:rowOff>
    </xdr:from>
    <xdr:to>
      <xdr:col>15</xdr:col>
      <xdr:colOff>685799</xdr:colOff>
      <xdr:row>33</xdr:row>
      <xdr:rowOff>142875</xdr:rowOff>
    </xdr:to>
    <mc:AlternateContent xmlns:mc="http://schemas.openxmlformats.org/markup-compatibility/2006" xmlns:a14="http://schemas.microsoft.com/office/drawing/2010/main">
      <mc:Choice Requires="a14">
        <xdr:graphicFrame macro="">
          <xdr:nvGraphicFramePr>
            <xdr:cNvPr id="45" name="slPOC">
              <a:extLst>
                <a:ext uri="{FF2B5EF4-FFF2-40B4-BE49-F238E27FC236}">
                  <a16:creationId xmlns:a16="http://schemas.microsoft.com/office/drawing/2014/main" id="{3D62EDEE-9CE4-0B6F-5DE6-C6A13A85F497}"/>
                </a:ext>
              </a:extLst>
            </xdr:cNvPr>
            <xdr:cNvGraphicFramePr/>
          </xdr:nvGraphicFramePr>
          <xdr:xfrm>
            <a:off x="0" y="0"/>
            <a:ext cx="0" cy="0"/>
          </xdr:xfrm>
          <a:graphic>
            <a:graphicData uri="http://schemas.microsoft.com/office/drawing/2010/slicer">
              <sle:slicer xmlns:sle="http://schemas.microsoft.com/office/drawing/2010/slicer" name="slPOC"/>
            </a:graphicData>
          </a:graphic>
        </xdr:graphicFrame>
      </mc:Choice>
      <mc:Fallback xmlns="">
        <xdr:sp macro="" textlink="">
          <xdr:nvSpPr>
            <xdr:cNvPr id="0" name=""/>
            <xdr:cNvSpPr>
              <a:spLocks noTextEdit="1"/>
            </xdr:cNvSpPr>
          </xdr:nvSpPr>
          <xdr:spPr>
            <a:xfrm>
              <a:off x="13206412" y="5172075"/>
              <a:ext cx="2185987"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127000</xdr:colOff>
      <xdr:row>35</xdr:row>
      <xdr:rowOff>0</xdr:rowOff>
    </xdr:from>
    <xdr:to>
      <xdr:col>4</xdr:col>
      <xdr:colOff>530225</xdr:colOff>
      <xdr:row>36</xdr:row>
      <xdr:rowOff>0</xdr:rowOff>
    </xdr:to>
    <xdr:sp macro="" textlink="">
      <xdr:nvSpPr>
        <xdr:cNvPr id="46" name="TextBox 45">
          <a:extLst>
            <a:ext uri="{FF2B5EF4-FFF2-40B4-BE49-F238E27FC236}">
              <a16:creationId xmlns:a16="http://schemas.microsoft.com/office/drawing/2014/main" id="{54D111D9-0F4D-0568-94A6-1BAFAC783E89}"/>
            </a:ext>
          </a:extLst>
        </xdr:cNvPr>
        <xdr:cNvSpPr txBox="1"/>
      </xdr:nvSpPr>
      <xdr:spPr>
        <a:xfrm>
          <a:off x="1641475" y="7486650"/>
          <a:ext cx="5080000" cy="180975"/>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bIns="0" rtlCol="0" anchor="b"/>
        <a:lstStyle/>
        <a:p>
          <a:r>
            <a:rPr lang="en-US" sz="1100" b="1">
              <a:solidFill>
                <a:srgbClr val="2E2257"/>
              </a:solidFill>
              <a:latin typeface="Segoe UI" panose="020B0502040204020203" pitchFamily="34" charset="0"/>
            </a:rPr>
            <a:t>ANALYTICS</a:t>
          </a:r>
        </a:p>
      </xdr:txBody>
    </xdr:sp>
    <xdr:clientData/>
  </xdr:twoCellAnchor>
  <xdr:twoCellAnchor editAs="absolute">
    <xdr:from>
      <xdr:col>1</xdr:col>
      <xdr:colOff>127000</xdr:colOff>
      <xdr:row>36</xdr:row>
      <xdr:rowOff>12700</xdr:rowOff>
    </xdr:from>
    <xdr:to>
      <xdr:col>16</xdr:col>
      <xdr:colOff>0</xdr:colOff>
      <xdr:row>36</xdr:row>
      <xdr:rowOff>12700</xdr:rowOff>
    </xdr:to>
    <xdr:cxnSp macro="">
      <xdr:nvCxnSpPr>
        <xdr:cNvPr id="47" name="Straight Connector 46">
          <a:extLst>
            <a:ext uri="{FF2B5EF4-FFF2-40B4-BE49-F238E27FC236}">
              <a16:creationId xmlns:a16="http://schemas.microsoft.com/office/drawing/2014/main" id="{4DB65D29-EF63-BF12-DBB9-98A73CBED12C}"/>
            </a:ext>
          </a:extLst>
        </xdr:cNvPr>
        <xdr:cNvCxnSpPr/>
      </xdr:nvCxnSpPr>
      <xdr:spPr>
        <a:xfrm>
          <a:off x="1641475" y="7680325"/>
          <a:ext cx="13750925" cy="0"/>
        </a:xfrm>
        <a:prstGeom prst="line">
          <a:avLst/>
        </a:prstGeom>
        <a:ln w="25400">
          <a:solidFill>
            <a:srgbClr val="7C3AED"/>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xdr:col>
      <xdr:colOff>127000</xdr:colOff>
      <xdr:row>36</xdr:row>
      <xdr:rowOff>38100</xdr:rowOff>
    </xdr:from>
    <xdr:to>
      <xdr:col>6</xdr:col>
      <xdr:colOff>233363</xdr:colOff>
      <xdr:row>52</xdr:row>
      <xdr:rowOff>142875</xdr:rowOff>
    </xdr:to>
    <xdr:graphicFrame macro="">
      <xdr:nvGraphicFramePr>
        <xdr:cNvPr id="48" name="Chart 47">
          <a:extLst>
            <a:ext uri="{FF2B5EF4-FFF2-40B4-BE49-F238E27FC236}">
              <a16:creationId xmlns:a16="http://schemas.microsoft.com/office/drawing/2014/main" id="{14BB7631-A392-4937-4777-51591EEEF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6</xdr:col>
      <xdr:colOff>360363</xdr:colOff>
      <xdr:row>36</xdr:row>
      <xdr:rowOff>38100</xdr:rowOff>
    </xdr:from>
    <xdr:to>
      <xdr:col>16</xdr:col>
      <xdr:colOff>1</xdr:colOff>
      <xdr:row>52</xdr:row>
      <xdr:rowOff>142875</xdr:rowOff>
    </xdr:to>
    <xdr:graphicFrame macro="">
      <xdr:nvGraphicFramePr>
        <xdr:cNvPr id="49" name="Chart 48">
          <a:extLst>
            <a:ext uri="{FF2B5EF4-FFF2-40B4-BE49-F238E27FC236}">
              <a16:creationId xmlns:a16="http://schemas.microsoft.com/office/drawing/2014/main" id="{B6CB0A1D-0369-879E-2920-9E3D782EF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127000</xdr:colOff>
      <xdr:row>53</xdr:row>
      <xdr:rowOff>38100</xdr:rowOff>
    </xdr:from>
    <xdr:to>
      <xdr:col>6</xdr:col>
      <xdr:colOff>233363</xdr:colOff>
      <xdr:row>69</xdr:row>
      <xdr:rowOff>142875</xdr:rowOff>
    </xdr:to>
    <xdr:graphicFrame macro="">
      <xdr:nvGraphicFramePr>
        <xdr:cNvPr id="50" name="Chart 49">
          <a:extLst>
            <a:ext uri="{FF2B5EF4-FFF2-40B4-BE49-F238E27FC236}">
              <a16:creationId xmlns:a16="http://schemas.microsoft.com/office/drawing/2014/main" id="{AA527F81-3647-E0D0-5E9A-182D49027E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6</xdr:col>
      <xdr:colOff>360363</xdr:colOff>
      <xdr:row>53</xdr:row>
      <xdr:rowOff>38100</xdr:rowOff>
    </xdr:from>
    <xdr:to>
      <xdr:col>16</xdr:col>
      <xdr:colOff>1</xdr:colOff>
      <xdr:row>69</xdr:row>
      <xdr:rowOff>142875</xdr:rowOff>
    </xdr:to>
    <xdr:graphicFrame macro="">
      <xdr:nvGraphicFramePr>
        <xdr:cNvPr id="51" name="Chart 50">
          <a:extLst>
            <a:ext uri="{FF2B5EF4-FFF2-40B4-BE49-F238E27FC236}">
              <a16:creationId xmlns:a16="http://schemas.microsoft.com/office/drawing/2014/main" id="{B7BB3D22-8C60-0222-DD4C-51A72FED8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127000</xdr:colOff>
      <xdr:row>0</xdr:row>
      <xdr:rowOff>127000</xdr:rowOff>
    </xdr:from>
    <xdr:to>
      <xdr:col>0</xdr:col>
      <xdr:colOff>1489075</xdr:colOff>
      <xdr:row>1</xdr:row>
      <xdr:rowOff>76200</xdr:rowOff>
    </xdr:to>
    <xdr:sp macro="" textlink="">
      <xdr:nvSpPr>
        <xdr:cNvPr id="2" name="TextBox 1">
          <a:extLst>
            <a:ext uri="{FF2B5EF4-FFF2-40B4-BE49-F238E27FC236}">
              <a16:creationId xmlns:a16="http://schemas.microsoft.com/office/drawing/2014/main" id="{779E584B-9C0B-9057-6B14-A0742B806362}"/>
            </a:ext>
          </a:extLst>
        </xdr:cNvPr>
        <xdr:cNvSpPr txBox="1"/>
      </xdr:nvSpPr>
      <xdr:spPr>
        <a:xfrm>
          <a:off x="127000" y="127000"/>
          <a:ext cx="1362075"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900" b="1">
              <a:solidFill>
                <a:srgbClr val="5E5480"/>
              </a:solidFill>
              <a:latin typeface="Segoe UI" panose="020B0502040204020203" pitchFamily="34" charset="0"/>
            </a:rPr>
            <a:t>PROJECT HUB</a:t>
          </a:r>
        </a:p>
      </xdr:txBody>
    </xdr:sp>
    <xdr:clientData/>
  </xdr:twoCellAnchor>
  <xdr:twoCellAnchor editAs="absolute">
    <xdr:from>
      <xdr:col>0</xdr:col>
      <xdr:colOff>76200</xdr:colOff>
      <xdr:row>1</xdr:row>
      <xdr:rowOff>152400</xdr:rowOff>
    </xdr:from>
    <xdr:to>
      <xdr:col>0</xdr:col>
      <xdr:colOff>1438275</xdr:colOff>
      <xdr:row>3</xdr:row>
      <xdr:rowOff>152400</xdr:rowOff>
    </xdr:to>
    <xdr:sp macro="" textlink="">
      <xdr:nvSpPr>
        <xdr:cNvPr id="3" name="nav_Dashboard">
          <a:hlinkClick xmlns:r="http://schemas.openxmlformats.org/officeDocument/2006/relationships" r:id="rId1" tooltip="Go to Dashboard"/>
          <a:extLst>
            <a:ext uri="{FF2B5EF4-FFF2-40B4-BE49-F238E27FC236}">
              <a16:creationId xmlns:a16="http://schemas.microsoft.com/office/drawing/2014/main" id="{C2469EC0-475B-48AA-F362-D3D74853FE9C}"/>
            </a:ext>
          </a:extLst>
        </xdr:cNvPr>
        <xdr:cNvSpPr/>
      </xdr:nvSpPr>
      <xdr:spPr>
        <a:xfrm>
          <a:off x="76200" y="457200"/>
          <a:ext cx="1362075" cy="381000"/>
        </a:xfrm>
        <a:prstGeom prst="roundRect">
          <a:avLst>
            <a:gd name="adj" fmla="val 20000"/>
          </a:avLst>
        </a:prstGeom>
        <a:solidFill>
          <a:srgbClr val="C3BBF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2E2257"/>
              </a:solidFill>
              <a:latin typeface="Segoe MDL2 Assets" panose="050A0102010101010101" pitchFamily="18" charset="0"/>
            </a:rPr>
            <a:t></a:t>
          </a:r>
          <a:r>
            <a:rPr lang="en-US" sz="1100" b="1">
              <a:solidFill>
                <a:srgbClr val="2E2257"/>
              </a:solidFill>
              <a:latin typeface="Segoe UI" panose="020B0502040204020203" pitchFamily="34" charset="0"/>
            </a:rPr>
            <a:t>   Dashboard</a:t>
          </a:r>
        </a:p>
      </xdr:txBody>
    </xdr:sp>
    <xdr:clientData/>
  </xdr:twoCellAnchor>
  <xdr:twoCellAnchor editAs="absolute">
    <xdr:from>
      <xdr:col>0</xdr:col>
      <xdr:colOff>76200</xdr:colOff>
      <xdr:row>4</xdr:row>
      <xdr:rowOff>12700</xdr:rowOff>
    </xdr:from>
    <xdr:to>
      <xdr:col>0</xdr:col>
      <xdr:colOff>1438275</xdr:colOff>
      <xdr:row>6</xdr:row>
      <xdr:rowOff>12700</xdr:rowOff>
    </xdr:to>
    <xdr:sp macro="" textlink="">
      <xdr:nvSpPr>
        <xdr:cNvPr id="4" name="nav_Projects">
          <a:hlinkClick xmlns:r="http://schemas.openxmlformats.org/officeDocument/2006/relationships" r:id="rId2" tooltip="Go to Projects"/>
          <a:extLst>
            <a:ext uri="{FF2B5EF4-FFF2-40B4-BE49-F238E27FC236}">
              <a16:creationId xmlns:a16="http://schemas.microsoft.com/office/drawing/2014/main" id="{F7E48380-11D8-F80E-931F-CB107A6DCDB2}"/>
            </a:ext>
          </a:extLst>
        </xdr:cNvPr>
        <xdr:cNvSpPr/>
      </xdr:nvSpPr>
      <xdr:spPr>
        <a:xfrm>
          <a:off x="76200" y="889000"/>
          <a:ext cx="1362075" cy="381000"/>
        </a:xfrm>
        <a:prstGeom prst="roundRect">
          <a:avLst>
            <a:gd name="adj" fmla="val 20000"/>
          </a:avLst>
        </a:prstGeom>
        <a:solidFill>
          <a:srgbClr val="7C3AED"/>
        </a:solidFill>
        <a:ln w="19050" cap="flat" cmpd="sng" algn="ctr">
          <a:noFill/>
          <a:prstDash val="solid"/>
          <a:miter lim="800000"/>
        </a:ln>
        <a:effectLst>
          <a:outerShdw blurRad="63500" dist="28398" dir="3806086" rotWithShape="0">
            <a:scrgbClr r="0" g="0" b="0">
              <a:alpha val="3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FFFFFF"/>
              </a:solidFill>
              <a:latin typeface="Segoe MDL2 Assets" panose="050A0102010101010101" pitchFamily="18" charset="0"/>
            </a:rPr>
            <a:t></a:t>
          </a:r>
          <a:r>
            <a:rPr lang="en-US" sz="1100" b="1">
              <a:solidFill>
                <a:srgbClr val="FFFFFF"/>
              </a:solidFill>
              <a:latin typeface="Segoe UI" panose="020B0502040204020203" pitchFamily="34" charset="0"/>
            </a:rPr>
            <a:t>   Projects</a:t>
          </a:r>
        </a:p>
      </xdr:txBody>
    </xdr:sp>
    <xdr:clientData/>
  </xdr:twoCellAnchor>
  <xdr:twoCellAnchor editAs="absolute">
    <xdr:from>
      <xdr:col>0</xdr:col>
      <xdr:colOff>76200</xdr:colOff>
      <xdr:row>6</xdr:row>
      <xdr:rowOff>63500</xdr:rowOff>
    </xdr:from>
    <xdr:to>
      <xdr:col>0</xdr:col>
      <xdr:colOff>1438275</xdr:colOff>
      <xdr:row>8</xdr:row>
      <xdr:rowOff>63500</xdr:rowOff>
    </xdr:to>
    <xdr:sp macro="" textlink="">
      <xdr:nvSpPr>
        <xdr:cNvPr id="5" name="nav_Timeline">
          <a:hlinkClick xmlns:r="http://schemas.openxmlformats.org/officeDocument/2006/relationships" r:id="rId3" tooltip="Go to Timeline"/>
          <a:extLst>
            <a:ext uri="{FF2B5EF4-FFF2-40B4-BE49-F238E27FC236}">
              <a16:creationId xmlns:a16="http://schemas.microsoft.com/office/drawing/2014/main" id="{D524E0A0-E647-1E51-8708-193C8D4D94BF}"/>
            </a:ext>
          </a:extLst>
        </xdr:cNvPr>
        <xdr:cNvSpPr/>
      </xdr:nvSpPr>
      <xdr:spPr>
        <a:xfrm>
          <a:off x="76200" y="1320800"/>
          <a:ext cx="1362075" cy="381000"/>
        </a:xfrm>
        <a:prstGeom prst="roundRect">
          <a:avLst>
            <a:gd name="adj" fmla="val 20000"/>
          </a:avLst>
        </a:prstGeom>
        <a:solidFill>
          <a:srgbClr val="C3BBF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2E2257"/>
              </a:solidFill>
              <a:latin typeface="Segoe MDL2 Assets" panose="050A0102010101010101" pitchFamily="18" charset="0"/>
            </a:rPr>
            <a:t></a:t>
          </a:r>
          <a:r>
            <a:rPr lang="en-US" sz="1100" b="1">
              <a:solidFill>
                <a:srgbClr val="2E2257"/>
              </a:solidFill>
              <a:latin typeface="Segoe UI" panose="020B0502040204020203" pitchFamily="34" charset="0"/>
            </a:rPr>
            <a:t>   Timeline</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127000</xdr:colOff>
      <xdr:row>0</xdr:row>
      <xdr:rowOff>127000</xdr:rowOff>
    </xdr:from>
    <xdr:to>
      <xdr:col>0</xdr:col>
      <xdr:colOff>1489075</xdr:colOff>
      <xdr:row>1</xdr:row>
      <xdr:rowOff>0</xdr:rowOff>
    </xdr:to>
    <xdr:sp macro="" textlink="">
      <xdr:nvSpPr>
        <xdr:cNvPr id="2" name="TextBox 1">
          <a:extLst>
            <a:ext uri="{FF2B5EF4-FFF2-40B4-BE49-F238E27FC236}">
              <a16:creationId xmlns:a16="http://schemas.microsoft.com/office/drawing/2014/main" id="{128D98CC-2BEB-933C-3947-5724BB3708D2}"/>
            </a:ext>
          </a:extLst>
        </xdr:cNvPr>
        <xdr:cNvSpPr txBox="1"/>
      </xdr:nvSpPr>
      <xdr:spPr>
        <a:xfrm>
          <a:off x="127000" y="127000"/>
          <a:ext cx="1362075"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900" b="1">
              <a:solidFill>
                <a:srgbClr val="5E5480"/>
              </a:solidFill>
              <a:latin typeface="Segoe UI" panose="020B0502040204020203" pitchFamily="34" charset="0"/>
            </a:rPr>
            <a:t>PROJECT HUB</a:t>
          </a:r>
        </a:p>
      </xdr:txBody>
    </xdr:sp>
    <xdr:clientData/>
  </xdr:twoCellAnchor>
  <xdr:twoCellAnchor editAs="absolute">
    <xdr:from>
      <xdr:col>0</xdr:col>
      <xdr:colOff>76200</xdr:colOff>
      <xdr:row>1</xdr:row>
      <xdr:rowOff>76200</xdr:rowOff>
    </xdr:from>
    <xdr:to>
      <xdr:col>0</xdr:col>
      <xdr:colOff>1438275</xdr:colOff>
      <xdr:row>2</xdr:row>
      <xdr:rowOff>104775</xdr:rowOff>
    </xdr:to>
    <xdr:sp macro="" textlink="">
      <xdr:nvSpPr>
        <xdr:cNvPr id="3" name="nav_Dashboard">
          <a:hlinkClick xmlns:r="http://schemas.openxmlformats.org/officeDocument/2006/relationships" r:id="rId1" tooltip="Go to Dashboard"/>
          <a:extLst>
            <a:ext uri="{FF2B5EF4-FFF2-40B4-BE49-F238E27FC236}">
              <a16:creationId xmlns:a16="http://schemas.microsoft.com/office/drawing/2014/main" id="{86C49592-4718-652B-A8F4-B8DB756B9BE7}"/>
            </a:ext>
          </a:extLst>
        </xdr:cNvPr>
        <xdr:cNvSpPr/>
      </xdr:nvSpPr>
      <xdr:spPr>
        <a:xfrm>
          <a:off x="76200" y="457200"/>
          <a:ext cx="1362075" cy="381000"/>
        </a:xfrm>
        <a:prstGeom prst="roundRect">
          <a:avLst>
            <a:gd name="adj" fmla="val 20000"/>
          </a:avLst>
        </a:prstGeom>
        <a:solidFill>
          <a:srgbClr val="C3BBF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2E2257"/>
              </a:solidFill>
              <a:latin typeface="Segoe MDL2 Assets" panose="050A0102010101010101" pitchFamily="18" charset="0"/>
            </a:rPr>
            <a:t></a:t>
          </a:r>
          <a:r>
            <a:rPr lang="en-US" sz="1100" b="1">
              <a:solidFill>
                <a:srgbClr val="2E2257"/>
              </a:solidFill>
              <a:latin typeface="Segoe UI" panose="020B0502040204020203" pitchFamily="34" charset="0"/>
            </a:rPr>
            <a:t>   Dashboard</a:t>
          </a:r>
        </a:p>
      </xdr:txBody>
    </xdr:sp>
    <xdr:clientData/>
  </xdr:twoCellAnchor>
  <xdr:twoCellAnchor editAs="absolute">
    <xdr:from>
      <xdr:col>0</xdr:col>
      <xdr:colOff>76200</xdr:colOff>
      <xdr:row>2</xdr:row>
      <xdr:rowOff>155575</xdr:rowOff>
    </xdr:from>
    <xdr:to>
      <xdr:col>0</xdr:col>
      <xdr:colOff>1438275</xdr:colOff>
      <xdr:row>3</xdr:row>
      <xdr:rowOff>184150</xdr:rowOff>
    </xdr:to>
    <xdr:sp macro="" textlink="">
      <xdr:nvSpPr>
        <xdr:cNvPr id="4" name="nav_Projects">
          <a:hlinkClick xmlns:r="http://schemas.openxmlformats.org/officeDocument/2006/relationships" r:id="rId2" tooltip="Go to Projects"/>
          <a:extLst>
            <a:ext uri="{FF2B5EF4-FFF2-40B4-BE49-F238E27FC236}">
              <a16:creationId xmlns:a16="http://schemas.microsoft.com/office/drawing/2014/main" id="{27469408-A189-666E-F9B2-DE7B5CD23E39}"/>
            </a:ext>
          </a:extLst>
        </xdr:cNvPr>
        <xdr:cNvSpPr/>
      </xdr:nvSpPr>
      <xdr:spPr>
        <a:xfrm>
          <a:off x="76200" y="889000"/>
          <a:ext cx="1362075" cy="381000"/>
        </a:xfrm>
        <a:prstGeom prst="roundRect">
          <a:avLst>
            <a:gd name="adj" fmla="val 20000"/>
          </a:avLst>
        </a:prstGeom>
        <a:solidFill>
          <a:srgbClr val="C3BBF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2E2257"/>
              </a:solidFill>
              <a:latin typeface="Segoe MDL2 Assets" panose="050A0102010101010101" pitchFamily="18" charset="0"/>
            </a:rPr>
            <a:t></a:t>
          </a:r>
          <a:r>
            <a:rPr lang="en-US" sz="1100" b="1">
              <a:solidFill>
                <a:srgbClr val="2E2257"/>
              </a:solidFill>
              <a:latin typeface="Segoe UI" panose="020B0502040204020203" pitchFamily="34" charset="0"/>
            </a:rPr>
            <a:t>   Projects</a:t>
          </a:r>
        </a:p>
      </xdr:txBody>
    </xdr:sp>
    <xdr:clientData/>
  </xdr:twoCellAnchor>
  <xdr:twoCellAnchor editAs="absolute">
    <xdr:from>
      <xdr:col>0</xdr:col>
      <xdr:colOff>76200</xdr:colOff>
      <xdr:row>3</xdr:row>
      <xdr:rowOff>234950</xdr:rowOff>
    </xdr:from>
    <xdr:to>
      <xdr:col>0</xdr:col>
      <xdr:colOff>1438275</xdr:colOff>
      <xdr:row>4</xdr:row>
      <xdr:rowOff>263525</xdr:rowOff>
    </xdr:to>
    <xdr:sp macro="" textlink="">
      <xdr:nvSpPr>
        <xdr:cNvPr id="5" name="nav_Timeline">
          <a:hlinkClick xmlns:r="http://schemas.openxmlformats.org/officeDocument/2006/relationships" r:id="rId3" tooltip="Go to Timeline"/>
          <a:extLst>
            <a:ext uri="{FF2B5EF4-FFF2-40B4-BE49-F238E27FC236}">
              <a16:creationId xmlns:a16="http://schemas.microsoft.com/office/drawing/2014/main" id="{50FB7DD4-A6EE-5B8C-1763-743CFDD421C0}"/>
            </a:ext>
          </a:extLst>
        </xdr:cNvPr>
        <xdr:cNvSpPr/>
      </xdr:nvSpPr>
      <xdr:spPr>
        <a:xfrm>
          <a:off x="76200" y="1320800"/>
          <a:ext cx="1362075" cy="381000"/>
        </a:xfrm>
        <a:prstGeom prst="roundRect">
          <a:avLst>
            <a:gd name="adj" fmla="val 20000"/>
          </a:avLst>
        </a:prstGeom>
        <a:solidFill>
          <a:srgbClr val="7C3AED"/>
        </a:solidFill>
        <a:ln w="19050" cap="flat" cmpd="sng" algn="ctr">
          <a:noFill/>
          <a:prstDash val="solid"/>
          <a:miter lim="800000"/>
        </a:ln>
        <a:effectLst>
          <a:outerShdw blurRad="63500" dist="28398" dir="3806086" rotWithShape="0">
            <a:scrgbClr r="0" g="0" b="0">
              <a:alpha val="3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127000" rtlCol="0" anchor="ctr"/>
        <a:lstStyle/>
        <a:p>
          <a:pPr algn="l"/>
          <a:r>
            <a:rPr lang="en-US" sz="1400" b="0">
              <a:solidFill>
                <a:srgbClr val="FFFFFF"/>
              </a:solidFill>
              <a:latin typeface="Segoe MDL2 Assets" panose="050A0102010101010101" pitchFamily="18" charset="0"/>
            </a:rPr>
            <a:t></a:t>
          </a:r>
          <a:r>
            <a:rPr lang="en-US" sz="1100" b="1">
              <a:solidFill>
                <a:srgbClr val="FFFFFF"/>
              </a:solidFill>
              <a:latin typeface="Segoe UI" panose="020B0502040204020203" pitchFamily="34" charset="0"/>
            </a:rPr>
            <a:t>   Timeline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aubalejo, John Eric" refreshedDate="46318.169951967589" createdVersion="5" refreshedVersion="8" minRefreshableVersion="3" recordCount="9" xr:uid="{AAC260D0-1739-4DB2-BA8D-272569BA06A8}">
  <cacheSource type="worksheet">
    <worksheetSource name="tblProjects"/>
  </cacheSource>
  <cacheFields count="19">
    <cacheField name="Project Name" numFmtId="0">
      <sharedItems/>
    </cacheField>
    <cacheField name="POC" numFmtId="0">
      <sharedItems count="6">
        <s v="John Ryan Ariola"/>
        <s v="Charlon Calugay"/>
        <s v="Justin Umali"/>
        <s v="Pope Tuazon"/>
        <s v="Shine Abdulhalik"/>
        <s v="Junie Ann Martinez"/>
      </sharedItems>
    </cacheField>
    <cacheField name="Developer" numFmtId="0">
      <sharedItems/>
    </cacheField>
    <cacheField name="LOB" numFmtId="0">
      <sharedItems count="3">
        <s v="Payment Integrity"/>
        <s v="Dispute Intake"/>
        <s v="Non-COB"/>
      </sharedItems>
    </cacheField>
    <cacheField name="Status" numFmtId="0">
      <sharedItems count="2">
        <s v="Completed"/>
        <s v="Ongoing"/>
      </sharedItems>
    </cacheField>
    <cacheField name="Priority" numFmtId="0">
      <sharedItems count="2">
        <s v="High"/>
        <s v="Medium"/>
      </sharedItems>
    </cacheField>
    <cacheField name="Category" numFmtId="0">
      <sharedItems count="5">
        <s v="Management Tool"/>
        <s v="Workforce Management"/>
        <s v="Ageing Management"/>
        <s v="Automation"/>
        <s v="Process Improvement"/>
      </sharedItems>
    </cacheField>
    <cacheField name="Start Date" numFmtId="14">
      <sharedItems containsSemiMixedTypes="0" containsNonDate="0" containsDate="1" containsString="0" minDate="2026-08-10T00:00:00" maxDate="2026-09-09T00:00:00" count="4">
        <d v="2026-08-10T00:00:00"/>
        <d v="2026-08-19T00:00:00"/>
        <d v="2026-08-17T00:00:00"/>
        <d v="2026-09-08T00:00:00"/>
      </sharedItems>
    </cacheField>
    <cacheField name="Due Date" numFmtId="14">
      <sharedItems containsSemiMixedTypes="0" containsNonDate="0" containsDate="1" containsString="0" minDate="2026-08-21T00:00:00" maxDate="2026-09-12T00:00:00"/>
    </cacheField>
    <cacheField name="Deployment Status" numFmtId="0">
      <sharedItems/>
    </cacheField>
    <cacheField name="Progress" numFmtId="9">
      <sharedItems containsSemiMixedTypes="0" containsString="0" containsNumber="1" minValue="0.5" maxValue="1"/>
    </cacheField>
    <cacheField name="Link" numFmtId="0">
      <sharedItems containsBlank="1"/>
    </cacheField>
    <cacheField name="Duration (Days)" numFmtId="0">
      <sharedItems containsSemiMixedTypes="0" containsString="0" containsNumber="1" containsInteger="1" minValue="4" maxValue="26"/>
    </cacheField>
    <cacheField name="Days Left" numFmtId="164">
      <sharedItems containsMixedTypes="1" containsNumber="1" containsInteger="1" minValue="-58" maxValue="-42"/>
    </cacheField>
    <cacheField name="Health" numFmtId="0">
      <sharedItems count="2">
        <s v="Completed"/>
        <s v="Overdue"/>
      </sharedItems>
    </cacheField>
    <cacheField name="Is Completed" numFmtId="0">
      <sharedItems containsSemiMixedTypes="0" containsString="0" containsNumber="1" containsInteger="1" minValue="0" maxValue="1"/>
    </cacheField>
    <cacheField name="Is Ongoing" numFmtId="0">
      <sharedItems containsSemiMixedTypes="0" containsString="0" containsNumber="1" containsInteger="1" minValue="0" maxValue="1"/>
    </cacheField>
    <cacheField name="Is Overdue" numFmtId="0">
      <sharedItems containsSemiMixedTypes="0" containsString="0" containsNumber="1" containsInteger="1" minValue="0" maxValue="1"/>
    </cacheField>
    <cacheField name="Due (Sort)" numFmtId="0">
      <sharedItems/>
    </cacheField>
  </cacheFields>
  <extLst>
    <ext xmlns:x14="http://schemas.microsoft.com/office/spreadsheetml/2009/9/main" uri="{725AE2AE-9491-48be-B2B4-4EB974FC3084}">
      <x14:pivotCacheDefinition pivotCacheId="11863915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NTE and NOD tracker"/>
    <x v="0"/>
    <s v="Shine Abdulhalik, Junie Ann Martinez, Pope Tuazon"/>
    <x v="0"/>
    <x v="0"/>
    <x v="0"/>
    <x v="0"/>
    <x v="0"/>
    <d v="2026-08-21T00:00:00"/>
    <s v="Not Yet Started"/>
    <n v="1"/>
    <s v="VANGUARD - Power Apps"/>
    <n v="12"/>
    <s v=""/>
    <x v="0"/>
    <n v="1"/>
    <n v="0"/>
    <n v="0"/>
    <s v="2026-08-21"/>
  </r>
  <r>
    <s v="Attendance (with PTO request) tracker"/>
    <x v="1"/>
    <s v="Justin Umali, Charmaine San Juan"/>
    <x v="0"/>
    <x v="0"/>
    <x v="0"/>
    <x v="1"/>
    <x v="0"/>
    <d v="2026-08-21T00:00:00"/>
    <s v="Not Yet Started"/>
    <n v="1"/>
    <s v="Tempus - Power Apps"/>
    <n v="12"/>
    <s v=""/>
    <x v="0"/>
    <n v="1"/>
    <n v="0"/>
    <n v="0"/>
    <s v="2026-08-21"/>
  </r>
  <r>
    <s v="Payment Integrity - Pends Review"/>
    <x v="0"/>
    <s v="Shine Abdulhalik, Charlon Calugay"/>
    <x v="0"/>
    <x v="1"/>
    <x v="1"/>
    <x v="2"/>
    <x v="1"/>
    <d v="2026-08-26T00:00:00"/>
    <s v="Not Yet Started"/>
    <n v="1"/>
    <s v="APEX - Power Apps"/>
    <n v="8"/>
    <n v="-58"/>
    <x v="1"/>
    <n v="0"/>
    <n v="1"/>
    <n v="1"/>
    <s v="2026-08-26"/>
  </r>
  <r>
    <s v="OPIDs Review"/>
    <x v="2"/>
    <s v="Justin Umali, Melody Lapena"/>
    <x v="1"/>
    <x v="0"/>
    <x v="0"/>
    <x v="3"/>
    <x v="2"/>
    <d v="2026-08-21T00:00:00"/>
    <s v="Not Yet Started"/>
    <n v="1"/>
    <m/>
    <n v="5"/>
    <s v=""/>
    <x v="0"/>
    <n v="1"/>
    <n v="0"/>
    <n v="0"/>
    <s v="2026-08-21"/>
  </r>
  <r>
    <s v="Genpro"/>
    <x v="3"/>
    <s v="Pope Tuazon, Justin Umali"/>
    <x v="1"/>
    <x v="0"/>
    <x v="1"/>
    <x v="4"/>
    <x v="2"/>
    <d v="2026-08-21T00:00:00"/>
    <s v="Submitted"/>
    <n v="1"/>
    <m/>
    <n v="5"/>
    <s v=""/>
    <x v="0"/>
    <n v="1"/>
    <n v="0"/>
    <n v="0"/>
    <s v="2026-08-21"/>
  </r>
  <r>
    <s v="Employee Dashboard"/>
    <x v="0"/>
    <s v="John Ryan Ariola"/>
    <x v="0"/>
    <x v="1"/>
    <x v="0"/>
    <x v="0"/>
    <x v="0"/>
    <d v="2026-09-04T00:00:00"/>
    <s v="Not Yet Started"/>
    <n v="0.5"/>
    <m/>
    <n v="26"/>
    <n v="-49"/>
    <x v="1"/>
    <n v="0"/>
    <n v="1"/>
    <n v="1"/>
    <s v="2026-09-04"/>
  </r>
  <r>
    <s v="New Ansir Apps for NonCOB"/>
    <x v="4"/>
    <s v="Shine Abdulhalik"/>
    <x v="2"/>
    <x v="1"/>
    <x v="0"/>
    <x v="0"/>
    <x v="0"/>
    <d v="2026-09-01T00:00:00"/>
    <s v="Not Yet Started"/>
    <n v="0.75"/>
    <m/>
    <n v="23"/>
    <n v="-52"/>
    <x v="1"/>
    <n v="0"/>
    <n v="1"/>
    <n v="1"/>
    <s v="2026-09-01"/>
  </r>
  <r>
    <s v="Ansir Calculator for NonCOB"/>
    <x v="5"/>
    <s v="Junie Ann Martinez"/>
    <x v="2"/>
    <x v="1"/>
    <x v="0"/>
    <x v="0"/>
    <x v="0"/>
    <d v="2026-09-01T00:00:00"/>
    <s v="Not Yet Started"/>
    <n v="0.75"/>
    <m/>
    <n v="23"/>
    <n v="-52"/>
    <x v="1"/>
    <n v="0"/>
    <n v="1"/>
    <n v="1"/>
    <s v="2026-09-01"/>
  </r>
  <r>
    <s v="RootCauseAnalysis"/>
    <x v="0"/>
    <s v="John Ryan Ariola"/>
    <x v="0"/>
    <x v="1"/>
    <x v="0"/>
    <x v="4"/>
    <x v="3"/>
    <d v="2026-09-11T00:00:00"/>
    <s v="Not Yet Started"/>
    <n v="0.75"/>
    <m/>
    <n v="4"/>
    <n v="-42"/>
    <x v="1"/>
    <n v="0"/>
    <n v="1"/>
    <n v="1"/>
    <s v="2026-09-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85984D-DD63-4124-B71A-B8D8C07DFA25}" name="ptCategory" cacheId="76"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1">
  <location ref="M3:N9" firstHeaderRow="1" firstDataRow="1" firstDataCol="1"/>
  <pivotFields count="19">
    <pivotField showAll="0"/>
    <pivotField showAll="0">
      <items count="7">
        <item x="1"/>
        <item x="0"/>
        <item x="5"/>
        <item x="2"/>
        <item x="3"/>
        <item x="4"/>
        <item t="default"/>
      </items>
    </pivotField>
    <pivotField showAll="0"/>
    <pivotField showAll="0">
      <items count="4">
        <item x="1"/>
        <item x="2"/>
        <item x="0"/>
        <item t="default"/>
      </items>
    </pivotField>
    <pivotField showAll="0">
      <items count="3">
        <item x="0"/>
        <item x="1"/>
        <item t="default"/>
      </items>
    </pivotField>
    <pivotField showAll="0">
      <items count="3">
        <item x="0"/>
        <item x="1"/>
        <item t="default"/>
      </items>
    </pivotField>
    <pivotField axis="axisRow" showAll="0">
      <items count="6">
        <item x="2"/>
        <item x="3"/>
        <item x="0"/>
        <item x="4"/>
        <item x="1"/>
        <item t="default"/>
      </items>
    </pivotField>
    <pivotField numFmtId="14" showAll="0">
      <items count="5">
        <item x="0"/>
        <item x="2"/>
        <item x="1"/>
        <item x="3"/>
        <item t="default"/>
      </items>
    </pivotField>
    <pivotField numFmtId="14" showAll="0"/>
    <pivotField showAll="0"/>
    <pivotField dataField="1" numFmtId="9" showAll="0"/>
    <pivotField showAll="0"/>
    <pivotField showAll="0"/>
    <pivotField showAll="0"/>
    <pivotField showAll="0">
      <items count="3">
        <item x="0"/>
        <item x="1"/>
        <item t="default"/>
      </items>
    </pivotField>
    <pivotField showAll="0"/>
    <pivotField showAll="0"/>
    <pivotField showAll="0"/>
    <pivotField showAll="0"/>
  </pivotFields>
  <rowFields count="1">
    <field x="6"/>
  </rowFields>
  <rowItems count="6">
    <i>
      <x/>
    </i>
    <i>
      <x v="1"/>
    </i>
    <i>
      <x v="2"/>
    </i>
    <i>
      <x v="3"/>
    </i>
    <i>
      <x v="4"/>
    </i>
    <i t="grand">
      <x/>
    </i>
  </rowItems>
  <colItems count="1">
    <i/>
  </colItems>
  <dataFields count="1">
    <dataField name="Avg Progress " fld="10" subtotal="average" baseField="0" baseItem="0" numFmtId="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402C77-0190-4E67-B08C-13E8F75BA5DA}" name="ptHealth" cacheId="76"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1">
  <location ref="I3:J6" firstHeaderRow="1" firstDataRow="1" firstDataCol="1"/>
  <pivotFields count="19">
    <pivotField dataField="1" showAll="0"/>
    <pivotField showAll="0">
      <items count="7">
        <item x="1"/>
        <item x="0"/>
        <item x="5"/>
        <item x="2"/>
        <item x="3"/>
        <item x="4"/>
        <item t="default"/>
      </items>
    </pivotField>
    <pivotField showAll="0"/>
    <pivotField showAll="0">
      <items count="4">
        <item x="1"/>
        <item x="2"/>
        <item x="0"/>
        <item t="default"/>
      </items>
    </pivotField>
    <pivotField showAll="0">
      <items count="3">
        <item x="0"/>
        <item x="1"/>
        <item t="default"/>
      </items>
    </pivotField>
    <pivotField showAll="0">
      <items count="3">
        <item x="0"/>
        <item x="1"/>
        <item t="default"/>
      </items>
    </pivotField>
    <pivotField showAll="0">
      <items count="6">
        <item x="2"/>
        <item x="3"/>
        <item x="0"/>
        <item x="4"/>
        <item x="1"/>
        <item t="default"/>
      </items>
    </pivotField>
    <pivotField numFmtId="14" showAll="0">
      <items count="5">
        <item x="0"/>
        <item x="2"/>
        <item x="1"/>
        <item x="3"/>
        <item t="default"/>
      </items>
    </pivotField>
    <pivotField numFmtId="14" showAll="0"/>
    <pivotField showAll="0"/>
    <pivotField numFmtId="9" showAll="0"/>
    <pivotField showAll="0"/>
    <pivotField showAll="0"/>
    <pivotField showAll="0"/>
    <pivotField axis="axisRow" showAll="0">
      <items count="3">
        <item x="0"/>
        <item x="1"/>
        <item t="default"/>
      </items>
    </pivotField>
    <pivotField showAll="0"/>
    <pivotField showAll="0"/>
    <pivotField showAll="0"/>
    <pivotField showAll="0"/>
  </pivotFields>
  <rowFields count="1">
    <field x="14"/>
  </rowFields>
  <rowItems count="3">
    <i>
      <x/>
    </i>
    <i>
      <x v="1"/>
    </i>
    <i t="grand">
      <x/>
    </i>
  </rowItems>
  <colItems count="1">
    <i/>
  </colItems>
  <dataFields count="1">
    <dataField name="Projects"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A12DF1-AFF1-418E-909A-1B30538A7539}" name="ptKPI" cacheId="76"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location ref="A3:E4" firstHeaderRow="0" firstDataRow="1" firstDataCol="0"/>
  <pivotFields count="19">
    <pivotField dataField="1" showAll="0"/>
    <pivotField showAll="0">
      <items count="7">
        <item x="1"/>
        <item x="0"/>
        <item x="5"/>
        <item x="2"/>
        <item x="3"/>
        <item x="4"/>
        <item t="default"/>
      </items>
    </pivotField>
    <pivotField showAll="0"/>
    <pivotField showAll="0">
      <items count="4">
        <item x="1"/>
        <item x="2"/>
        <item x="0"/>
        <item t="default"/>
      </items>
    </pivotField>
    <pivotField showAll="0">
      <items count="3">
        <item x="0"/>
        <item x="1"/>
        <item t="default"/>
      </items>
    </pivotField>
    <pivotField showAll="0">
      <items count="3">
        <item x="0"/>
        <item x="1"/>
        <item t="default"/>
      </items>
    </pivotField>
    <pivotField showAll="0">
      <items count="6">
        <item x="2"/>
        <item x="3"/>
        <item x="0"/>
        <item x="4"/>
        <item x="1"/>
        <item t="default"/>
      </items>
    </pivotField>
    <pivotField numFmtId="14" showAll="0">
      <items count="5">
        <item x="0"/>
        <item x="2"/>
        <item x="1"/>
        <item x="3"/>
        <item t="default"/>
      </items>
    </pivotField>
    <pivotField numFmtId="14" showAll="0"/>
    <pivotField showAll="0"/>
    <pivotField dataField="1" numFmtId="9" showAll="0"/>
    <pivotField showAll="0"/>
    <pivotField showAll="0"/>
    <pivotField showAll="0"/>
    <pivotField showAll="0">
      <items count="3">
        <item x="0"/>
        <item x="1"/>
        <item t="default"/>
      </items>
    </pivotField>
    <pivotField dataField="1" showAll="0"/>
    <pivotField dataField="1" showAll="0"/>
    <pivotField dataField="1" showAll="0"/>
    <pivotField showAll="0"/>
  </pivotFields>
  <rowItems count="1">
    <i/>
  </rowItems>
  <colFields count="1">
    <field x="-2"/>
  </colFields>
  <colItems count="5">
    <i>
      <x/>
    </i>
    <i i="1">
      <x v="1"/>
    </i>
    <i i="2">
      <x v="2"/>
    </i>
    <i i="3">
      <x v="3"/>
    </i>
    <i i="4">
      <x v="4"/>
    </i>
  </colItems>
  <dataFields count="5">
    <dataField name="Total Projects" fld="0" subtotal="count" baseField="0" baseItem="0"/>
    <dataField name="Completed Count" fld="15" baseField="0" baseItem="0"/>
    <dataField name="Ongoing Count" fld="16" baseField="0" baseItem="0"/>
    <dataField name="Overdue Count" fld="17" baseField="0" baseItem="0"/>
    <dataField name="Avg Progress" fld="10"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0EE6FF-BDC1-4B29-8C54-8E0078EE4DB9}" name="ptPOC" cacheId="76"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1">
  <location ref="Z3:AC11" firstHeaderRow="1" firstDataRow="2" firstDataCol="1"/>
  <pivotFields count="19">
    <pivotField dataField="1" showAll="0"/>
    <pivotField axis="axisRow" showAll="0">
      <items count="7">
        <item x="1"/>
        <item x="0"/>
        <item x="5"/>
        <item x="2"/>
        <item x="3"/>
        <item x="4"/>
        <item t="default"/>
      </items>
    </pivotField>
    <pivotField showAll="0"/>
    <pivotField showAll="0">
      <items count="4">
        <item x="1"/>
        <item x="2"/>
        <item x="0"/>
        <item t="default"/>
      </items>
    </pivotField>
    <pivotField axis="axisCol" showAll="0">
      <items count="3">
        <item x="0"/>
        <item x="1"/>
        <item t="default"/>
      </items>
    </pivotField>
    <pivotField showAll="0">
      <items count="3">
        <item x="0"/>
        <item x="1"/>
        <item t="default"/>
      </items>
    </pivotField>
    <pivotField showAll="0">
      <items count="6">
        <item x="2"/>
        <item x="3"/>
        <item x="0"/>
        <item x="4"/>
        <item x="1"/>
        <item t="default"/>
      </items>
    </pivotField>
    <pivotField numFmtId="14" showAll="0">
      <items count="5">
        <item x="0"/>
        <item x="2"/>
        <item x="1"/>
        <item x="3"/>
        <item t="default"/>
      </items>
    </pivotField>
    <pivotField numFmtId="14" showAll="0"/>
    <pivotField showAll="0"/>
    <pivotField numFmtId="9" showAll="0"/>
    <pivotField showAll="0"/>
    <pivotField showAll="0"/>
    <pivotField showAll="0"/>
    <pivotField showAll="0">
      <items count="3">
        <item x="0"/>
        <item x="1"/>
        <item t="default"/>
      </items>
    </pivotField>
    <pivotField showAll="0"/>
    <pivotField showAll="0"/>
    <pivotField showAll="0"/>
    <pivotField showAll="0"/>
  </pivotFields>
  <rowFields count="1">
    <field x="1"/>
  </rowFields>
  <rowItems count="7">
    <i>
      <x/>
    </i>
    <i>
      <x v="1"/>
    </i>
    <i>
      <x v="2"/>
    </i>
    <i>
      <x v="3"/>
    </i>
    <i>
      <x v="4"/>
    </i>
    <i>
      <x v="5"/>
    </i>
    <i t="grand">
      <x/>
    </i>
  </rowItems>
  <colFields count="1">
    <field x="4"/>
  </colFields>
  <colItems count="3">
    <i>
      <x/>
    </i>
    <i>
      <x v="1"/>
    </i>
    <i t="grand">
      <x/>
    </i>
  </colItems>
  <dataFields count="1">
    <dataField name="Projects" fld="0" subtotal="count" baseField="0" baseItem="0"/>
  </dataFields>
  <chartFormats count="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52F60F-40B0-4F48-B6E0-DEA2727CE40E}" name="ptLOB" cacheId="76"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1">
  <location ref="Q3:T8" firstHeaderRow="1" firstDataRow="2" firstDataCol="1"/>
  <pivotFields count="19">
    <pivotField dataField="1" showAll="0"/>
    <pivotField showAll="0">
      <items count="7">
        <item x="1"/>
        <item x="0"/>
        <item x="5"/>
        <item x="2"/>
        <item x="3"/>
        <item x="4"/>
        <item t="default"/>
      </items>
    </pivotField>
    <pivotField showAll="0"/>
    <pivotField axis="axisRow" showAll="0">
      <items count="4">
        <item x="1"/>
        <item x="2"/>
        <item x="0"/>
        <item t="default"/>
      </items>
    </pivotField>
    <pivotField axis="axisCol" showAll="0">
      <items count="3">
        <item x="0"/>
        <item x="1"/>
        <item t="default"/>
      </items>
    </pivotField>
    <pivotField showAll="0">
      <items count="3">
        <item x="0"/>
        <item x="1"/>
        <item t="default"/>
      </items>
    </pivotField>
    <pivotField showAll="0">
      <items count="6">
        <item x="2"/>
        <item x="3"/>
        <item x="0"/>
        <item x="4"/>
        <item x="1"/>
        <item t="default"/>
      </items>
    </pivotField>
    <pivotField numFmtId="14" showAll="0">
      <items count="5">
        <item x="0"/>
        <item x="2"/>
        <item x="1"/>
        <item x="3"/>
        <item t="default"/>
      </items>
    </pivotField>
    <pivotField numFmtId="14" showAll="0"/>
    <pivotField showAll="0"/>
    <pivotField numFmtId="9" showAll="0"/>
    <pivotField showAll="0"/>
    <pivotField showAll="0"/>
    <pivotField showAll="0"/>
    <pivotField showAll="0">
      <items count="3">
        <item x="0"/>
        <item x="1"/>
        <item t="default"/>
      </items>
    </pivotField>
    <pivotField showAll="0"/>
    <pivotField showAll="0"/>
    <pivotField showAll="0"/>
    <pivotField showAll="0"/>
  </pivotFields>
  <rowFields count="1">
    <field x="3"/>
  </rowFields>
  <rowItems count="4">
    <i>
      <x/>
    </i>
    <i>
      <x v="1"/>
    </i>
    <i>
      <x v="2"/>
    </i>
    <i t="grand">
      <x/>
    </i>
  </rowItems>
  <colFields count="1">
    <field x="4"/>
  </colFields>
  <colItems count="3">
    <i>
      <x/>
    </i>
    <i>
      <x v="1"/>
    </i>
    <i t="grand">
      <x/>
    </i>
  </colItems>
  <dataFields count="1">
    <dataField name="Projects" fld="0" subtotal="count" baseField="0" baseItem="0"/>
  </dataFields>
  <chartFormats count="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1629B18-B7C3-4129-AAD0-3E6DE7903E99}" sourceName="Status">
  <pivotTables>
    <pivotTable tabId="4" name="ptKPI"/>
    <pivotTable tabId="4" name="ptHealth"/>
    <pivotTable tabId="4" name="ptCategory"/>
    <pivotTable tabId="4" name="ptLOB"/>
    <pivotTable tabId="4" name="ptPOC"/>
  </pivotTables>
  <data>
    <tabular pivotCacheId="11863915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 xr10:uid="{8E98D701-C30D-4EC6-BA4F-412E90254255}" sourceName="Health">
  <pivotTables>
    <pivotTable tabId="4" name="ptKPI"/>
    <pivotTable tabId="4" name="ptHealth"/>
    <pivotTable tabId="4" name="ptCategory"/>
    <pivotTable tabId="4" name="ptLOB"/>
    <pivotTable tabId="4" name="ptPOC"/>
  </pivotTables>
  <data>
    <tabular pivotCacheId="118639153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B" xr10:uid="{AFB2BD9A-F858-472F-9F0E-F18B520F6E28}" sourceName="LOB">
  <pivotTables>
    <pivotTable tabId="4" name="ptKPI"/>
    <pivotTable tabId="4" name="ptHealth"/>
    <pivotTable tabId="4" name="ptCategory"/>
    <pivotTable tabId="4" name="ptLOB"/>
    <pivotTable tabId="4" name="ptPOC"/>
  </pivotTables>
  <data>
    <tabular pivotCacheId="118639153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54D67B64-3214-4A43-803B-D9F070D2AF1D}" sourceName="Priority">
  <pivotTables>
    <pivotTable tabId="4" name="ptKPI"/>
    <pivotTable tabId="4" name="ptHealth"/>
    <pivotTable tabId="4" name="ptCategory"/>
    <pivotTable tabId="4" name="ptLOB"/>
    <pivotTable tabId="4" name="ptPOC"/>
  </pivotTables>
  <data>
    <tabular pivotCacheId="118639153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C498BC3-52D2-4CBD-978A-0B62608ABA39}" sourceName="Category">
  <pivotTables>
    <pivotTable tabId="4" name="ptKPI"/>
    <pivotTable tabId="4" name="ptHealth"/>
    <pivotTable tabId="4" name="ptCategory"/>
    <pivotTable tabId="4" name="ptLOB"/>
    <pivotTable tabId="4" name="ptPOC"/>
  </pivotTables>
  <data>
    <tabular pivotCacheId="1186391531">
      <items count="5">
        <i x="2" s="1"/>
        <i x="3" s="1"/>
        <i x="0" s="1"/>
        <i x="4"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C" xr10:uid="{47F8F570-7DFC-49AF-9245-B27C9FDCD0F5}" sourceName="POC">
  <pivotTables>
    <pivotTable tabId="4" name="ptKPI"/>
    <pivotTable tabId="4" name="ptHealth"/>
    <pivotTable tabId="4" name="ptCategory"/>
    <pivotTable tabId="4" name="ptLOB"/>
    <pivotTable tabId="4" name="ptPOC"/>
  </pivotTables>
  <data>
    <tabular pivotCacheId="1186391531">
      <items count="6">
        <i x="1" s="1"/>
        <i x="0" s="1"/>
        <i x="5"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Status" xr10:uid="{6FEC47B8-C350-49EC-A7B5-4EFC97F77AE3}" cache="Slicer_Status" caption="Status" rowHeight="257175"/>
  <slicer name="slHealth" xr10:uid="{1CB66DAC-8A51-4FFD-B79E-F90630A41488}" cache="Slicer_Health" caption="Health" rowHeight="257175"/>
  <slicer name="slLOB" xr10:uid="{4D1ED030-6048-4801-9D30-4C768C0415E2}" cache="Slicer_LOB" caption="LOB" rowHeight="257175"/>
  <slicer name="slPriority" xr10:uid="{0BFBC0A5-45BA-4345-B3C6-D81CD3C3FAF3}" cache="Slicer_Priority" caption="Priority" rowHeight="257175"/>
  <slicer name="slCategory" xr10:uid="{A3B9AD58-8A33-48D0-8560-9974D6CF521E}" cache="Slicer_Category" caption="Category" rowHeight="257175"/>
  <slicer name="slPOC" xr10:uid="{1AE9FC0D-0003-42CA-A236-47AE4585041B}" cache="Slicer_POC" caption="POC"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19C276-76C8-4149-8EA5-742B741CC161}" name="tblProjects" displayName="tblProjects" ref="B3:T13" totalsRowShown="0" headerRowDxfId="32">
  <autoFilter ref="B3:T13" xr:uid="{7719C276-76C8-4149-8EA5-742B741CC161}"/>
  <tableColumns count="19">
    <tableColumn id="1" xr3:uid="{5B84B8E5-A737-4E84-AA63-8871C517B463}" name="Project Name"/>
    <tableColumn id="2" xr3:uid="{8AEC5EE9-10B5-46DF-8DEC-91E2B080F7E8}" name="POC"/>
    <tableColumn id="3" xr3:uid="{F358CFFE-5B6D-4B02-82D9-6F87E7B7402C}" name="Developer"/>
    <tableColumn id="4" xr3:uid="{E7E7FE91-B5DC-42C4-8B64-CCB9F63FD39E}" name="LOB"/>
    <tableColumn id="5" xr3:uid="{11909D06-0142-43A8-9D24-8C4F1E250549}" name="Status"/>
    <tableColumn id="6" xr3:uid="{79DD7D95-C1A0-43E4-97CA-DCB20AF7428D}" name="Priority"/>
    <tableColumn id="7" xr3:uid="{D77708F6-0DD6-4296-8352-C55B8E55BE20}" name="Category"/>
    <tableColumn id="8" xr3:uid="{94E54A40-224B-4521-BAA7-069200776C65}" name="Start Date" dataDxfId="31"/>
    <tableColumn id="9" xr3:uid="{9CC10E3A-CE36-4764-92E4-F4B0AB2F8779}" name="Due Date" dataDxfId="30"/>
    <tableColumn id="10" xr3:uid="{E606D681-48A6-472A-A5DE-800928989213}" name="Deployment Status"/>
    <tableColumn id="11" xr3:uid="{C33F909C-372F-441C-B1A3-C87DB2D8D321}" name="Progress" dataDxfId="29"/>
    <tableColumn id="12" xr3:uid="{7E49D34F-B00C-4AB2-92B1-C4E8BBD2E6E9}" name="Link"/>
    <tableColumn id="13" xr3:uid="{A21EC618-1140-419C-8757-83CA69311D1E}" name="Duration (Days)" dataDxfId="28">
      <calculatedColumnFormula>tblProjects[[#This Row],[Due Date]]-tblProjects[[#This Row],[Start Date]]+1</calculatedColumnFormula>
    </tableColumn>
    <tableColumn id="14" xr3:uid="{B50FF829-E508-43B3-9B78-119309A9D551}" name="Days Left" dataDxfId="27">
      <calculatedColumnFormula>IF(tblProjects[[#This Row],[Status]]="Completed","",tblProjects[[#This Row],[Due Date]]-TODAY())</calculatedColumnFormula>
    </tableColumn>
    <tableColumn id="15" xr3:uid="{D162E997-387E-4467-AB4C-D1965EB08CE1}" name="Health" dataDxfId="26">
      <calculatedColumnFormula>IF(tblProjects[[#This Row],[Status]]="Completed","Completed",IF(tblProjects[[#This Row],[Due Date]]&lt;TODAY(),"Overdue",IF(tblProjects[[#This Row],[Due Date]]-TODAY()&lt;=7,"Due Soon","On Track")))</calculatedColumnFormula>
    </tableColumn>
    <tableColumn id="16" xr3:uid="{0AE8B213-8EA7-425A-A480-BB1303BE40E5}" name="Is Completed" dataDxfId="25">
      <calculatedColumnFormula>--(tblProjects[[#This Row],[Status]]="Completed")</calculatedColumnFormula>
    </tableColumn>
    <tableColumn id="17" xr3:uid="{9829B0DE-E931-4BE8-8DA7-2C7628CF6673}" name="Is Ongoing" dataDxfId="24">
      <calculatedColumnFormula>--(tblProjects[[#This Row],[Status]]="Ongoing")</calculatedColumnFormula>
    </tableColumn>
    <tableColumn id="18" xr3:uid="{087BD155-63C7-48CC-A9C7-62E976A0A3B1}" name="Is Overdue" dataDxfId="23">
      <calculatedColumnFormula>--(tblProjects[[#This Row],[Health]]="Overdue")</calculatedColumnFormula>
    </tableColumn>
    <tableColumn id="19" xr3:uid="{8538DA56-9D35-4B89-A515-144CF9D7362F}" name="Due (Sort)" dataDxfId="22">
      <calculatedColumnFormula>TEXT(tblProjects[[#This Row],[Due Date]],"yyyy-mm-dd")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2E2257"/>
      </a:dk2>
      <a:lt2>
        <a:srgbClr val="C5FFFF"/>
      </a:lt2>
      <a:accent1>
        <a:srgbClr val="7C3AED"/>
      </a:accent1>
      <a:accent2>
        <a:srgbClr val="F59E0B"/>
      </a:accent2>
      <a:accent3>
        <a:srgbClr val="10B981"/>
      </a:accent3>
      <a:accent4>
        <a:srgbClr val="0EA5E9"/>
      </a:accent4>
      <a:accent5>
        <a:srgbClr val="F43F5E"/>
      </a:accent5>
      <a:accent6>
        <a:srgbClr val="14B8A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tartDate" xr10:uid="{4C9072D5-AF85-4DD0-BCC9-623750E0C829}" sourceName="Start Date">
  <pivotTables>
    <pivotTable tabId="4" name="ptKPI"/>
    <pivotTable tabId="4" name="ptHealth"/>
    <pivotTable tabId="4" name="ptCategory"/>
    <pivotTable tabId="4" name="ptLOB"/>
    <pivotTable tabId="4" name="ptPOC"/>
  </pivotTables>
  <state minimalRefreshVersion="6" lastRefreshVersion="6" pivotCacheId="1186391531"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lStartDate" xr10:uid="{F1BCE114-619B-4FED-A77E-DFF50E0E272F}" cache="Timeline_StartDate" caption="Start Date" level="2" selectionLevel="2" scrollPosition="2026-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EB48B-97D7-42A1-8E86-F8C1949D89B0}">
  <dimension ref="A1:Q13"/>
  <sheetViews>
    <sheetView showGridLines="0" tabSelected="1" workbookViewId="0">
      <selection activeCell="S11" sqref="S11"/>
    </sheetView>
  </sheetViews>
  <sheetFormatPr defaultRowHeight="14.25" x14ac:dyDescent="0.25"/>
  <cols>
    <col min="1" max="1" width="22.7109375" style="13" customWidth="1"/>
    <col min="2" max="2" width="34.7109375" style="12" customWidth="1"/>
    <col min="3" max="3" width="18.7109375" style="12" customWidth="1"/>
    <col min="4" max="4" width="16.7109375" style="12" customWidth="1"/>
    <col min="5" max="5" width="20.7109375" style="12" customWidth="1"/>
    <col min="6" max="6" width="9.7109375" style="12" customWidth="1"/>
    <col min="7" max="7" width="10.7109375" style="12" customWidth="1"/>
    <col min="8" max="10" width="11.7109375" style="12" customWidth="1"/>
    <col min="11" max="16" width="10.28515625" style="12" customWidth="1"/>
    <col min="17" max="17" width="2.7109375" style="12" customWidth="1"/>
    <col min="18" max="25" width="10.28515625" style="12" customWidth="1"/>
    <col min="26" max="16384" width="9.140625" style="12"/>
  </cols>
  <sheetData>
    <row r="1" spans="2:17" ht="32.1" customHeight="1" x14ac:dyDescent="0.55000000000000004">
      <c r="B1" s="16" t="s">
        <v>69</v>
      </c>
      <c r="C1" s="14"/>
      <c r="D1" s="14"/>
      <c r="E1" s="14"/>
      <c r="F1" s="14"/>
      <c r="G1" s="14"/>
      <c r="H1" s="14"/>
      <c r="I1" s="14"/>
      <c r="J1" s="14"/>
      <c r="K1" s="14"/>
      <c r="L1" s="14"/>
      <c r="M1" s="14"/>
      <c r="N1" s="14"/>
      <c r="O1" s="14"/>
      <c r="P1" s="14"/>
      <c r="Q1" s="14"/>
    </row>
    <row r="2" spans="2:17" ht="20.100000000000001" customHeight="1" x14ac:dyDescent="0.25">
      <c r="B2" s="17" t="str">
        <f ca="1">"As of "&amp;TEXT(TODAY(),"mmmm d, yyyy")&amp;"   |   Use the slicers &amp; timeline below to filter. Edit data on the Projects sheet, then Data &gt; Refresh All."</f>
        <v>As of October 23, 2026   |   Use the slicers &amp; timeline below to filter. Edit data on the Projects sheet, then Data &gt; Refresh All.</v>
      </c>
      <c r="C2" s="14"/>
      <c r="D2" s="14"/>
      <c r="E2" s="14"/>
      <c r="F2" s="14"/>
      <c r="G2" s="14"/>
      <c r="H2" s="14"/>
      <c r="I2" s="14"/>
      <c r="J2" s="14"/>
      <c r="K2" s="14"/>
      <c r="L2" s="14"/>
      <c r="M2" s="14"/>
      <c r="N2" s="14"/>
      <c r="O2" s="14"/>
      <c r="P2" s="14"/>
      <c r="Q2" s="14"/>
    </row>
    <row r="3" spans="2:17" ht="6" customHeight="1" x14ac:dyDescent="0.25">
      <c r="B3" s="15"/>
      <c r="C3" s="15"/>
      <c r="D3" s="15"/>
      <c r="E3" s="15"/>
      <c r="F3" s="15"/>
      <c r="G3" s="15"/>
      <c r="H3" s="15"/>
      <c r="I3" s="15"/>
      <c r="J3" s="15"/>
      <c r="K3" s="15"/>
      <c r="L3" s="15"/>
      <c r="M3" s="15"/>
      <c r="N3" s="15"/>
      <c r="O3" s="15"/>
      <c r="P3" s="15"/>
      <c r="Q3" s="15"/>
    </row>
    <row r="5" spans="2:17" ht="24" customHeight="1" x14ac:dyDescent="0.25"/>
    <row r="6" spans="2:17" ht="24" customHeight="1" x14ac:dyDescent="0.25"/>
    <row r="7" spans="2:17" ht="24" customHeight="1" x14ac:dyDescent="0.25"/>
    <row r="8" spans="2:17" ht="24" customHeight="1" x14ac:dyDescent="0.25"/>
    <row r="9" spans="2:17" ht="21.95" customHeight="1" x14ac:dyDescent="0.25"/>
    <row r="10" spans="2:17" ht="21.95" customHeight="1" x14ac:dyDescent="0.25"/>
    <row r="11" spans="2:17" ht="21.95" customHeight="1" x14ac:dyDescent="0.25"/>
    <row r="12" spans="2:17" ht="21.95" customHeight="1" x14ac:dyDescent="0.25"/>
    <row r="13" spans="2:17" ht="21.9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8E418-A5D5-43BF-A735-2EA1AE098F27}">
  <dimension ref="A1:T13"/>
  <sheetViews>
    <sheetView workbookViewId="0">
      <pane xSplit="2" topLeftCell="C1" activePane="topRight" state="frozenSplit"/>
      <selection pane="topRight"/>
    </sheetView>
  </sheetViews>
  <sheetFormatPr defaultRowHeight="15" x14ac:dyDescent="0.25"/>
  <cols>
    <col min="1" max="1" width="22.7109375" style="9" customWidth="1"/>
    <col min="2" max="2" width="36.7109375" customWidth="1"/>
    <col min="3" max="3" width="17.7109375" bestFit="1" customWidth="1"/>
    <col min="4" max="4" width="44.7109375" customWidth="1"/>
    <col min="5" max="5" width="16.140625" bestFit="1" customWidth="1"/>
    <col min="6" max="6" width="11.140625" bestFit="1" customWidth="1"/>
    <col min="7" max="7" width="9.85546875" bestFit="1" customWidth="1"/>
    <col min="8" max="8" width="22.28515625" bestFit="1" customWidth="1"/>
    <col min="9" max="9" width="12.28515625" bestFit="1" customWidth="1"/>
    <col min="10" max="10" width="11.7109375" bestFit="1" customWidth="1"/>
    <col min="11" max="11" width="20.85546875" bestFit="1" customWidth="1"/>
    <col min="12" max="12" width="11.140625" bestFit="1" customWidth="1"/>
    <col min="13" max="13" width="23.140625" bestFit="1" customWidth="1"/>
    <col min="14" max="14" width="17.5703125" bestFit="1" customWidth="1"/>
    <col min="15" max="15" width="11.7109375" bestFit="1" customWidth="1"/>
    <col min="16" max="16" width="11.140625" bestFit="1" customWidth="1"/>
    <col min="17" max="17" width="15.5703125" hidden="1" customWidth="1"/>
    <col min="18" max="18" width="12.7109375" hidden="1" customWidth="1"/>
    <col min="19" max="19" width="13" hidden="1" customWidth="1"/>
    <col min="20" max="20" width="12.5703125" hidden="1" customWidth="1"/>
  </cols>
  <sheetData>
    <row r="1" spans="2:20" ht="24" customHeight="1" x14ac:dyDescent="0.35">
      <c r="B1" s="1" t="s">
        <v>0</v>
      </c>
    </row>
    <row r="2" spans="2:20" x14ac:dyDescent="0.25">
      <c r="B2" s="2" t="s">
        <v>1</v>
      </c>
    </row>
    <row r="3" spans="2:20" x14ac:dyDescent="0.25">
      <c r="B3" s="4" t="s">
        <v>2</v>
      </c>
      <c r="C3" s="4" t="s">
        <v>3</v>
      </c>
      <c r="D3" s="4" t="s">
        <v>4</v>
      </c>
      <c r="E3" s="4" t="s">
        <v>5</v>
      </c>
      <c r="F3" s="4" t="s">
        <v>6</v>
      </c>
      <c r="G3" s="4" t="s">
        <v>7</v>
      </c>
      <c r="H3" s="4" t="s">
        <v>8</v>
      </c>
      <c r="I3" s="5" t="s">
        <v>9</v>
      </c>
      <c r="J3" s="5" t="s">
        <v>10</v>
      </c>
      <c r="K3" s="4" t="s">
        <v>11</v>
      </c>
      <c r="L3" s="4" t="s">
        <v>12</v>
      </c>
      <c r="M3" s="4" t="s">
        <v>13</v>
      </c>
      <c r="N3" s="4" t="s">
        <v>51</v>
      </c>
      <c r="O3" s="4" t="s">
        <v>52</v>
      </c>
      <c r="P3" s="4" t="s">
        <v>53</v>
      </c>
      <c r="Q3" s="4" t="s">
        <v>54</v>
      </c>
      <c r="R3" s="4" t="s">
        <v>55</v>
      </c>
      <c r="S3" s="4" t="s">
        <v>56</v>
      </c>
      <c r="T3" s="4" t="s">
        <v>57</v>
      </c>
    </row>
    <row r="4" spans="2:20" x14ac:dyDescent="0.25">
      <c r="B4" t="s">
        <v>14</v>
      </c>
      <c r="C4" t="s">
        <v>15</v>
      </c>
      <c r="D4" t="s">
        <v>16</v>
      </c>
      <c r="E4" t="s">
        <v>17</v>
      </c>
      <c r="F4" t="s">
        <v>18</v>
      </c>
      <c r="G4" t="s">
        <v>19</v>
      </c>
      <c r="H4" t="s">
        <v>20</v>
      </c>
      <c r="I4" s="3">
        <v>46244</v>
      </c>
      <c r="J4" s="3">
        <v>46255</v>
      </c>
      <c r="K4" t="s">
        <v>21</v>
      </c>
      <c r="L4" s="6">
        <v>1</v>
      </c>
      <c r="M4" t="s">
        <v>22</v>
      </c>
      <c r="N4" s="7">
        <f>tblProjects[[#This Row],[Due Date]]-tblProjects[[#This Row],[Start Date]]+1</f>
        <v>12</v>
      </c>
      <c r="O4" s="8" t="str">
        <f ca="1">IF(tblProjects[[#This Row],[Status]]="Completed","",tblProjects[[#This Row],[Due Date]]-TODAY())</f>
        <v/>
      </c>
      <c r="P4" s="7" t="str">
        <f ca="1">IF(tblProjects[[#This Row],[Status]]="Completed","Completed",IF(tblProjects[[#This Row],[Due Date]]&lt;TODAY(),"Overdue",IF(tblProjects[[#This Row],[Due Date]]-TODAY()&lt;=7,"Due Soon","On Track")))</f>
        <v>Completed</v>
      </c>
      <c r="Q4" s="7">
        <f>--(tblProjects[[#This Row],[Status]]="Completed")</f>
        <v>1</v>
      </c>
      <c r="R4" s="7">
        <f>--(tblProjects[[#This Row],[Status]]="Ongoing")</f>
        <v>0</v>
      </c>
      <c r="S4" s="7">
        <f ca="1">--(tblProjects[[#This Row],[Health]]="Overdue")</f>
        <v>0</v>
      </c>
      <c r="T4" s="7" t="str">
        <f>TEXT(tblProjects[[#This Row],[Due Date]],"yyyy-mm-dd")</f>
        <v>2026-08-21</v>
      </c>
    </row>
    <row r="5" spans="2:20" x14ac:dyDescent="0.25">
      <c r="B5" t="s">
        <v>23</v>
      </c>
      <c r="C5" t="s">
        <v>24</v>
      </c>
      <c r="D5" t="s">
        <v>25</v>
      </c>
      <c r="E5" t="s">
        <v>17</v>
      </c>
      <c r="F5" t="s">
        <v>18</v>
      </c>
      <c r="G5" t="s">
        <v>19</v>
      </c>
      <c r="H5" t="s">
        <v>26</v>
      </c>
      <c r="I5" s="3">
        <v>46244</v>
      </c>
      <c r="J5" s="3">
        <v>46255</v>
      </c>
      <c r="K5" t="s">
        <v>21</v>
      </c>
      <c r="L5" s="6">
        <v>1</v>
      </c>
      <c r="M5" t="s">
        <v>27</v>
      </c>
      <c r="N5" s="7">
        <f>tblProjects[[#This Row],[Due Date]]-tblProjects[[#This Row],[Start Date]]+1</f>
        <v>12</v>
      </c>
      <c r="O5" s="8" t="str">
        <f ca="1">IF(tblProjects[[#This Row],[Status]]="Completed","",tblProjects[[#This Row],[Due Date]]-TODAY())</f>
        <v/>
      </c>
      <c r="P5" s="7" t="str">
        <f ca="1">IF(tblProjects[[#This Row],[Status]]="Completed","Completed",IF(tblProjects[[#This Row],[Due Date]]&lt;TODAY(),"Overdue",IF(tblProjects[[#This Row],[Due Date]]-TODAY()&lt;=7,"Due Soon","On Track")))</f>
        <v>Completed</v>
      </c>
      <c r="Q5" s="7">
        <f>--(tblProjects[[#This Row],[Status]]="Completed")</f>
        <v>1</v>
      </c>
      <c r="R5" s="7">
        <f>--(tblProjects[[#This Row],[Status]]="Ongoing")</f>
        <v>0</v>
      </c>
      <c r="S5" s="7">
        <f ca="1">--(tblProjects[[#This Row],[Health]]="Overdue")</f>
        <v>0</v>
      </c>
      <c r="T5" s="7" t="str">
        <f>TEXT(tblProjects[[#This Row],[Due Date]],"yyyy-mm-dd")</f>
        <v>2026-08-21</v>
      </c>
    </row>
    <row r="6" spans="2:20" x14ac:dyDescent="0.25">
      <c r="B6" t="s">
        <v>28</v>
      </c>
      <c r="C6" t="s">
        <v>15</v>
      </c>
      <c r="D6" t="s">
        <v>29</v>
      </c>
      <c r="E6" t="s">
        <v>17</v>
      </c>
      <c r="F6" t="s">
        <v>30</v>
      </c>
      <c r="G6" t="s">
        <v>31</v>
      </c>
      <c r="H6" t="s">
        <v>32</v>
      </c>
      <c r="I6" s="3">
        <v>46253</v>
      </c>
      <c r="J6" s="3">
        <v>46260</v>
      </c>
      <c r="K6" t="s">
        <v>21</v>
      </c>
      <c r="L6" s="6">
        <v>1</v>
      </c>
      <c r="M6" t="s">
        <v>33</v>
      </c>
      <c r="N6" s="7">
        <f>tblProjects[[#This Row],[Due Date]]-tblProjects[[#This Row],[Start Date]]+1</f>
        <v>8</v>
      </c>
      <c r="O6" s="8">
        <f ca="1">IF(tblProjects[[#This Row],[Status]]="Completed","",tblProjects[[#This Row],[Due Date]]-TODAY())</f>
        <v>-58</v>
      </c>
      <c r="P6" s="7" t="str">
        <f ca="1">IF(tblProjects[[#This Row],[Status]]="Completed","Completed",IF(tblProjects[[#This Row],[Due Date]]&lt;TODAY(),"Overdue",IF(tblProjects[[#This Row],[Due Date]]-TODAY()&lt;=7,"Due Soon","On Track")))</f>
        <v>Overdue</v>
      </c>
      <c r="Q6" s="7">
        <f>--(tblProjects[[#This Row],[Status]]="Completed")</f>
        <v>0</v>
      </c>
      <c r="R6" s="7">
        <f>--(tblProjects[[#This Row],[Status]]="Ongoing")</f>
        <v>1</v>
      </c>
      <c r="S6" s="7">
        <f ca="1">--(tblProjects[[#This Row],[Health]]="Overdue")</f>
        <v>1</v>
      </c>
      <c r="T6" s="7" t="str">
        <f>TEXT(tblProjects[[#This Row],[Due Date]],"yyyy-mm-dd")</f>
        <v>2026-08-26</v>
      </c>
    </row>
    <row r="7" spans="2:20" x14ac:dyDescent="0.25">
      <c r="B7" t="s">
        <v>34</v>
      </c>
      <c r="C7" t="s">
        <v>35</v>
      </c>
      <c r="D7" t="s">
        <v>36</v>
      </c>
      <c r="E7" t="s">
        <v>37</v>
      </c>
      <c r="F7" t="s">
        <v>18</v>
      </c>
      <c r="G7" t="s">
        <v>19</v>
      </c>
      <c r="H7" t="s">
        <v>38</v>
      </c>
      <c r="I7" s="3">
        <v>46251</v>
      </c>
      <c r="J7" s="3">
        <v>46255</v>
      </c>
      <c r="K7" t="s">
        <v>21</v>
      </c>
      <c r="L7" s="6">
        <v>1</v>
      </c>
      <c r="N7" s="7">
        <f>tblProjects[[#This Row],[Due Date]]-tblProjects[[#This Row],[Start Date]]+1</f>
        <v>5</v>
      </c>
      <c r="O7" s="8" t="str">
        <f ca="1">IF(tblProjects[[#This Row],[Status]]="Completed","",tblProjects[[#This Row],[Due Date]]-TODAY())</f>
        <v/>
      </c>
      <c r="P7" s="7" t="str">
        <f ca="1">IF(tblProjects[[#This Row],[Status]]="Completed","Completed",IF(tblProjects[[#This Row],[Due Date]]&lt;TODAY(),"Overdue",IF(tblProjects[[#This Row],[Due Date]]-TODAY()&lt;=7,"Due Soon","On Track")))</f>
        <v>Completed</v>
      </c>
      <c r="Q7" s="7">
        <f>--(tblProjects[[#This Row],[Status]]="Completed")</f>
        <v>1</v>
      </c>
      <c r="R7" s="7">
        <f>--(tblProjects[[#This Row],[Status]]="Ongoing")</f>
        <v>0</v>
      </c>
      <c r="S7" s="7">
        <f ca="1">--(tblProjects[[#This Row],[Health]]="Overdue")</f>
        <v>0</v>
      </c>
      <c r="T7" s="7" t="str">
        <f>TEXT(tblProjects[[#This Row],[Due Date]],"yyyy-mm-dd")</f>
        <v>2026-08-21</v>
      </c>
    </row>
    <row r="8" spans="2:20" x14ac:dyDescent="0.25">
      <c r="B8" t="s">
        <v>39</v>
      </c>
      <c r="C8" t="s">
        <v>40</v>
      </c>
      <c r="D8" t="s">
        <v>41</v>
      </c>
      <c r="E8" t="s">
        <v>37</v>
      </c>
      <c r="F8" t="s">
        <v>18</v>
      </c>
      <c r="G8" t="s">
        <v>31</v>
      </c>
      <c r="H8" t="s">
        <v>42</v>
      </c>
      <c r="I8" s="3">
        <v>46251</v>
      </c>
      <c r="J8" s="3">
        <v>46255</v>
      </c>
      <c r="K8" t="s">
        <v>43</v>
      </c>
      <c r="L8" s="6">
        <v>1</v>
      </c>
      <c r="N8" s="7">
        <f>tblProjects[[#This Row],[Due Date]]-tblProjects[[#This Row],[Start Date]]+1</f>
        <v>5</v>
      </c>
      <c r="O8" s="8" t="str">
        <f ca="1">IF(tblProjects[[#This Row],[Status]]="Completed","",tblProjects[[#This Row],[Due Date]]-TODAY())</f>
        <v/>
      </c>
      <c r="P8" s="7" t="str">
        <f ca="1">IF(tblProjects[[#This Row],[Status]]="Completed","Completed",IF(tblProjects[[#This Row],[Due Date]]&lt;TODAY(),"Overdue",IF(tblProjects[[#This Row],[Due Date]]-TODAY()&lt;=7,"Due Soon","On Track")))</f>
        <v>Completed</v>
      </c>
      <c r="Q8" s="7">
        <f>--(tblProjects[[#This Row],[Status]]="Completed")</f>
        <v>1</v>
      </c>
      <c r="R8" s="7">
        <f>--(tblProjects[[#This Row],[Status]]="Ongoing")</f>
        <v>0</v>
      </c>
      <c r="S8" s="7">
        <f ca="1">--(tblProjects[[#This Row],[Health]]="Overdue")</f>
        <v>0</v>
      </c>
      <c r="T8" s="7" t="str">
        <f>TEXT(tblProjects[[#This Row],[Due Date]],"yyyy-mm-dd")</f>
        <v>2026-08-21</v>
      </c>
    </row>
    <row r="9" spans="2:20" x14ac:dyDescent="0.25">
      <c r="B9" t="s">
        <v>44</v>
      </c>
      <c r="C9" t="s">
        <v>15</v>
      </c>
      <c r="D9" t="s">
        <v>15</v>
      </c>
      <c r="E9" t="s">
        <v>17</v>
      </c>
      <c r="F9" t="s">
        <v>30</v>
      </c>
      <c r="G9" t="s">
        <v>19</v>
      </c>
      <c r="H9" t="s">
        <v>20</v>
      </c>
      <c r="I9" s="3">
        <v>46244</v>
      </c>
      <c r="J9" s="3">
        <v>46269</v>
      </c>
      <c r="K9" t="s">
        <v>21</v>
      </c>
      <c r="L9" s="6">
        <v>0.5</v>
      </c>
      <c r="N9" s="7">
        <f>tblProjects[[#This Row],[Due Date]]-tblProjects[[#This Row],[Start Date]]+1</f>
        <v>26</v>
      </c>
      <c r="O9" s="8">
        <f ca="1">IF(tblProjects[[#This Row],[Status]]="Completed","",tblProjects[[#This Row],[Due Date]]-TODAY())</f>
        <v>-49</v>
      </c>
      <c r="P9" s="7" t="str">
        <f ca="1">IF(tblProjects[[#This Row],[Status]]="Completed","Completed",IF(tblProjects[[#This Row],[Due Date]]&lt;TODAY(),"Overdue",IF(tblProjects[[#This Row],[Due Date]]-TODAY()&lt;=7,"Due Soon","On Track")))</f>
        <v>Overdue</v>
      </c>
      <c r="Q9" s="7">
        <f>--(tblProjects[[#This Row],[Status]]="Completed")</f>
        <v>0</v>
      </c>
      <c r="R9" s="7">
        <f>--(tblProjects[[#This Row],[Status]]="Ongoing")</f>
        <v>1</v>
      </c>
      <c r="S9" s="7">
        <f ca="1">--(tblProjects[[#This Row],[Health]]="Overdue")</f>
        <v>1</v>
      </c>
      <c r="T9" s="7" t="str">
        <f>TEXT(tblProjects[[#This Row],[Due Date]],"yyyy-mm-dd")</f>
        <v>2026-09-04</v>
      </c>
    </row>
    <row r="10" spans="2:20" x14ac:dyDescent="0.25">
      <c r="B10" t="s">
        <v>45</v>
      </c>
      <c r="C10" t="s">
        <v>46</v>
      </c>
      <c r="D10" t="s">
        <v>46</v>
      </c>
      <c r="E10" t="s">
        <v>47</v>
      </c>
      <c r="F10" t="s">
        <v>30</v>
      </c>
      <c r="G10" t="s">
        <v>19</v>
      </c>
      <c r="H10" t="s">
        <v>20</v>
      </c>
      <c r="I10" s="3">
        <v>46244</v>
      </c>
      <c r="J10" s="3">
        <v>46266</v>
      </c>
      <c r="K10" t="s">
        <v>21</v>
      </c>
      <c r="L10" s="6">
        <v>0.75</v>
      </c>
      <c r="N10" s="7">
        <f>tblProjects[[#This Row],[Due Date]]-tblProjects[[#This Row],[Start Date]]+1</f>
        <v>23</v>
      </c>
      <c r="O10" s="8">
        <f ca="1">IF(tblProjects[[#This Row],[Status]]="Completed","",tblProjects[[#This Row],[Due Date]]-TODAY())</f>
        <v>-52</v>
      </c>
      <c r="P10" s="7" t="str">
        <f ca="1">IF(tblProjects[[#This Row],[Status]]="Completed","Completed",IF(tblProjects[[#This Row],[Due Date]]&lt;TODAY(),"Overdue",IF(tblProjects[[#This Row],[Due Date]]-TODAY()&lt;=7,"Due Soon","On Track")))</f>
        <v>Overdue</v>
      </c>
      <c r="Q10" s="7">
        <f>--(tblProjects[[#This Row],[Status]]="Completed")</f>
        <v>0</v>
      </c>
      <c r="R10" s="7">
        <f>--(tblProjects[[#This Row],[Status]]="Ongoing")</f>
        <v>1</v>
      </c>
      <c r="S10" s="7">
        <f ca="1">--(tblProjects[[#This Row],[Health]]="Overdue")</f>
        <v>1</v>
      </c>
      <c r="T10" s="7" t="str">
        <f>TEXT(tblProjects[[#This Row],[Due Date]],"yyyy-mm-dd")</f>
        <v>2026-09-01</v>
      </c>
    </row>
    <row r="11" spans="2:20" x14ac:dyDescent="0.25">
      <c r="B11" t="s">
        <v>48</v>
      </c>
      <c r="C11" t="s">
        <v>49</v>
      </c>
      <c r="D11" t="s">
        <v>49</v>
      </c>
      <c r="E11" t="s">
        <v>47</v>
      </c>
      <c r="F11" t="s">
        <v>30</v>
      </c>
      <c r="G11" t="s">
        <v>19</v>
      </c>
      <c r="H11" t="s">
        <v>20</v>
      </c>
      <c r="I11" s="3">
        <v>46244</v>
      </c>
      <c r="J11" s="3">
        <v>46266</v>
      </c>
      <c r="K11" t="s">
        <v>21</v>
      </c>
      <c r="L11" s="6">
        <v>0.75</v>
      </c>
      <c r="N11" s="7">
        <f>tblProjects[[#This Row],[Due Date]]-tblProjects[[#This Row],[Start Date]]+1</f>
        <v>23</v>
      </c>
      <c r="O11" s="8">
        <f ca="1">IF(tblProjects[[#This Row],[Status]]="Completed","",tblProjects[[#This Row],[Due Date]]-TODAY())</f>
        <v>-52</v>
      </c>
      <c r="P11" s="7" t="str">
        <f ca="1">IF(tblProjects[[#This Row],[Status]]="Completed","Completed",IF(tblProjects[[#This Row],[Due Date]]&lt;TODAY(),"Overdue",IF(tblProjects[[#This Row],[Due Date]]-TODAY()&lt;=7,"Due Soon","On Track")))</f>
        <v>Overdue</v>
      </c>
      <c r="Q11" s="7">
        <f>--(tblProjects[[#This Row],[Status]]="Completed")</f>
        <v>0</v>
      </c>
      <c r="R11" s="7">
        <f>--(tblProjects[[#This Row],[Status]]="Ongoing")</f>
        <v>1</v>
      </c>
      <c r="S11" s="7">
        <f ca="1">--(tblProjects[[#This Row],[Health]]="Overdue")</f>
        <v>1</v>
      </c>
      <c r="T11" s="7" t="str">
        <f>TEXT(tblProjects[[#This Row],[Due Date]],"yyyy-mm-dd")</f>
        <v>2026-09-01</v>
      </c>
    </row>
    <row r="12" spans="2:20" x14ac:dyDescent="0.25">
      <c r="B12" t="s">
        <v>50</v>
      </c>
      <c r="C12" t="s">
        <v>15</v>
      </c>
      <c r="D12" t="s">
        <v>15</v>
      </c>
      <c r="E12" t="s">
        <v>17</v>
      </c>
      <c r="F12" t="s">
        <v>30</v>
      </c>
      <c r="G12" t="s">
        <v>19</v>
      </c>
      <c r="H12" t="s">
        <v>42</v>
      </c>
      <c r="I12" s="3">
        <v>46273</v>
      </c>
      <c r="J12" s="3">
        <v>46276</v>
      </c>
      <c r="K12" t="s">
        <v>21</v>
      </c>
      <c r="L12" s="6">
        <v>0.75</v>
      </c>
      <c r="N12" s="7">
        <f>tblProjects[[#This Row],[Due Date]]-tblProjects[[#This Row],[Start Date]]+1</f>
        <v>4</v>
      </c>
      <c r="O12" s="8">
        <f ca="1">IF(tblProjects[[#This Row],[Status]]="Completed","",tblProjects[[#This Row],[Due Date]]-TODAY())</f>
        <v>-42</v>
      </c>
      <c r="P12" s="7" t="str">
        <f ca="1">IF(tblProjects[[#This Row],[Status]]="Completed","Completed",IF(tblProjects[[#This Row],[Due Date]]&lt;TODAY(),"Overdue",IF(tblProjects[[#This Row],[Due Date]]-TODAY()&lt;=7,"Due Soon","On Track")))</f>
        <v>Overdue</v>
      </c>
      <c r="Q12" s="7">
        <f>--(tblProjects[[#This Row],[Status]]="Completed")</f>
        <v>0</v>
      </c>
      <c r="R12" s="7">
        <f>--(tblProjects[[#This Row],[Status]]="Ongoing")</f>
        <v>1</v>
      </c>
      <c r="S12" s="7">
        <f ca="1">--(tblProjects[[#This Row],[Health]]="Overdue")</f>
        <v>1</v>
      </c>
      <c r="T12" s="7" t="str">
        <f>TEXT(tblProjects[[#This Row],[Due Date]],"yyyy-mm-dd")</f>
        <v>2026-09-11</v>
      </c>
    </row>
    <row r="13" spans="2:20" x14ac:dyDescent="0.25">
      <c r="B13" t="s">
        <v>99</v>
      </c>
      <c r="C13" t="s">
        <v>98</v>
      </c>
      <c r="D13" t="s">
        <v>35</v>
      </c>
      <c r="E13" t="s">
        <v>17</v>
      </c>
      <c r="F13" t="s">
        <v>30</v>
      </c>
      <c r="G13" t="s">
        <v>19</v>
      </c>
      <c r="H13" t="s">
        <v>42</v>
      </c>
      <c r="I13" s="3">
        <v>46318</v>
      </c>
      <c r="J13" s="3">
        <v>46321</v>
      </c>
      <c r="K13" t="s">
        <v>21</v>
      </c>
      <c r="L13" s="6">
        <v>0.25</v>
      </c>
      <c r="N13" s="7">
        <f>tblProjects[[#This Row],[Due Date]]-tblProjects[[#This Row],[Start Date]]+1</f>
        <v>4</v>
      </c>
      <c r="O13" s="8">
        <f ca="1">IF(tblProjects[[#This Row],[Status]]="Completed","",tblProjects[[#This Row],[Due Date]]-TODAY())</f>
        <v>3</v>
      </c>
      <c r="P13" s="7" t="str">
        <f ca="1">IF(tblProjects[[#This Row],[Status]]="Completed","Completed",IF(tblProjects[[#This Row],[Due Date]]&lt;TODAY(),"Overdue",IF(tblProjects[[#This Row],[Due Date]]-TODAY()&lt;=7,"Due Soon","On Track")))</f>
        <v>Due Soon</v>
      </c>
      <c r="Q13" s="7">
        <f>--(tblProjects[[#This Row],[Status]]="Completed")</f>
        <v>0</v>
      </c>
      <c r="R13" s="7">
        <f>--(tblProjects[[#This Row],[Status]]="Ongoing")</f>
        <v>1</v>
      </c>
      <c r="S13" s="7">
        <f ca="1">--(tblProjects[[#This Row],[Health]]="Overdue")</f>
        <v>0</v>
      </c>
      <c r="T13" s="7" t="str">
        <f>TEXT(tblProjects[[#This Row],[Due Date]],"yyyy-mm-dd")</f>
        <v>2026-10-26</v>
      </c>
    </row>
  </sheetData>
  <conditionalFormatting sqref="F4:F13">
    <cfRule type="cellIs" dxfId="21" priority="2" stopIfTrue="1" operator="equal">
      <formula>"Completed"</formula>
    </cfRule>
    <cfRule type="cellIs" dxfId="20" priority="3" stopIfTrue="1" operator="equal">
      <formula>"Ongoing"</formula>
    </cfRule>
  </conditionalFormatting>
  <conditionalFormatting sqref="G4:G13">
    <cfRule type="cellIs" dxfId="19" priority="8" stopIfTrue="1" operator="equal">
      <formula>"High"</formula>
    </cfRule>
  </conditionalFormatting>
  <conditionalFormatting sqref="L4:L13">
    <cfRule type="dataBar" priority="1">
      <dataBar>
        <cfvo type="num" val="0"/>
        <cfvo type="num" val="1"/>
        <color rgb="FF10B981"/>
      </dataBar>
      <extLst>
        <ext xmlns:x14="http://schemas.microsoft.com/office/spreadsheetml/2009/9/main" uri="{B025F937-C7B1-47D3-B67F-A62EFF666E3E}">
          <x14:id>{B50E13C8-290C-4B63-A066-CA87D18FBA71}</x14:id>
        </ext>
      </extLst>
    </cfRule>
  </conditionalFormatting>
  <conditionalFormatting sqref="P4:P13">
    <cfRule type="cellIs" dxfId="18" priority="4" stopIfTrue="1" operator="equal">
      <formula>"Completed"</formula>
    </cfRule>
    <cfRule type="cellIs" dxfId="17" priority="5" stopIfTrue="1" operator="equal">
      <formula>"Overdue"</formula>
    </cfRule>
    <cfRule type="cellIs" dxfId="16" priority="6" stopIfTrue="1" operator="equal">
      <formula>"Due Soon"</formula>
    </cfRule>
    <cfRule type="cellIs" dxfId="15" priority="7" stopIfTrue="1" operator="equal">
      <formula>"On Track"</formula>
    </cfRule>
  </conditionalFormatting>
  <dataValidations count="8">
    <dataValidation type="list" allowBlank="1" showInputMessage="1" sqref="K4:K13" xr:uid="{705950D3-3C84-4B48-B917-D347F0CFC608}">
      <formula1>lst_DeploymentStatus</formula1>
    </dataValidation>
    <dataValidation type="list" allowBlank="1" showInputMessage="1" sqref="G4:G13" xr:uid="{0A878AC8-84BD-41B1-8362-29E1DD163265}">
      <formula1>lst_Priority</formula1>
    </dataValidation>
    <dataValidation type="list" allowBlank="1" showInputMessage="1" sqref="E4:E13" xr:uid="{75A6352C-88B8-48B0-ADEA-77ABECA76B2B}">
      <formula1>lst_LOB</formula1>
    </dataValidation>
    <dataValidation type="list" allowBlank="1" showInputMessage="1" sqref="H4:H13" xr:uid="{E0E75227-A0FB-40C5-929D-5A27CE5CC05E}">
      <formula1>lst_Category</formula1>
    </dataValidation>
    <dataValidation type="list" allowBlank="1" showInputMessage="1" sqref="C4:C13" xr:uid="{BF9A346E-2573-4FA0-92C0-6D86B42FB6F3}">
      <formula1>lst_POC</formula1>
    </dataValidation>
    <dataValidation type="list" allowBlank="1" showInputMessage="1" sqref="F4:F13" xr:uid="{4B54BB69-59F8-4EE1-B767-C1D5CDAC337C}">
      <formula1>lst_Status</formula1>
    </dataValidation>
    <dataValidation type="date" allowBlank="1" showInputMessage="1" showErrorMessage="1" error="Please enter a valid date (m/d/yyyy)." sqref="I4:J13" xr:uid="{0329B307-C11F-4E1E-BA37-24D44E948024}">
      <formula1>DATE(2000,1,1)</formula1>
      <formula2>DATE(2100,12,31)</formula2>
    </dataValidation>
    <dataValidation type="decimal" allowBlank="1" showInputMessage="1" showErrorMessage="1" error="Progress must be between 0% and 100%." sqref="L4:L13" xr:uid="{355A035A-C06D-4EF3-B089-146A08E5762E}">
      <formula1>0</formula1>
      <formula2>1</formula2>
    </dataValidation>
  </dataValidations>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50E13C8-290C-4B63-A066-CA87D18FBA71}">
            <x14:dataBar minLength="0" maxLength="100" negativeBarColorSameAsPositive="1" axisPosition="none">
              <x14:cfvo type="num">
                <xm:f>0</xm:f>
              </x14:cfvo>
              <x14:cfvo type="num">
                <xm:f>1</xm:f>
              </x14:cfvo>
            </x14:dataBar>
          </x14:cfRule>
          <xm:sqref>L4:L13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5B3E2-EFA5-47E3-B90E-A284D914A852}">
  <dimension ref="A1:CV107"/>
  <sheetViews>
    <sheetView showGridLines="0" workbookViewId="0">
      <pane xSplit="9" ySplit="7" topLeftCell="J8" activePane="bottomRight" state="frozen"/>
      <selection pane="topRight" activeCell="J1" sqref="J1"/>
      <selection pane="bottomLeft" activeCell="A8" sqref="A8"/>
      <selection pane="bottomRight"/>
    </sheetView>
  </sheetViews>
  <sheetFormatPr defaultRowHeight="12" x14ac:dyDescent="0.2"/>
  <cols>
    <col min="1" max="1" width="22.7109375" style="37" customWidth="1"/>
    <col min="2" max="2" width="2.7109375" style="19" customWidth="1"/>
    <col min="3" max="3" width="34.7109375" style="19" customWidth="1"/>
    <col min="4" max="4" width="18.7109375" style="19" customWidth="1"/>
    <col min="5" max="5" width="11.7109375" style="19" customWidth="1"/>
    <col min="6" max="8" width="8.7109375" style="19" customWidth="1"/>
    <col min="9" max="9" width="0" style="19" hidden="1" customWidth="1"/>
    <col min="10" max="100" width="3.28515625" style="19" customWidth="1"/>
    <col min="101" max="16384" width="9.140625" style="19"/>
  </cols>
  <sheetData>
    <row r="1" spans="3:100" ht="30" customHeight="1" x14ac:dyDescent="0.5">
      <c r="C1" s="20" t="s">
        <v>77</v>
      </c>
    </row>
    <row r="2" spans="3:100" ht="27.95" customHeight="1" x14ac:dyDescent="0.2"/>
    <row r="3" spans="3:100" ht="27.95" customHeight="1" x14ac:dyDescent="0.2">
      <c r="C3" s="21" t="s">
        <v>78</v>
      </c>
      <c r="D3" s="22"/>
      <c r="E3" s="24" t="s">
        <v>82</v>
      </c>
      <c r="F3" s="21" t="s">
        <v>79</v>
      </c>
      <c r="G3" s="22" t="s">
        <v>81</v>
      </c>
    </row>
    <row r="4" spans="3:100" ht="27.95" customHeight="1" x14ac:dyDescent="0.2">
      <c r="C4" s="21" t="s">
        <v>80</v>
      </c>
      <c r="D4" s="23">
        <f>MIN(tblProjects[Start Date])-WEEKDAY(MIN(tblProjects[Start Date]),3)</f>
        <v>46244</v>
      </c>
      <c r="E4" s="24" t="s">
        <v>83</v>
      </c>
    </row>
    <row r="5" spans="3:100" ht="27.95" customHeight="1" x14ac:dyDescent="0.2">
      <c r="J5" s="25"/>
      <c r="K5" s="19" t="s">
        <v>84</v>
      </c>
      <c r="N5" s="26"/>
      <c r="O5" s="19" t="s">
        <v>85</v>
      </c>
      <c r="T5" s="27"/>
      <c r="U5" s="19" t="s">
        <v>86</v>
      </c>
      <c r="AA5" s="28"/>
      <c r="AB5" s="19" t="s">
        <v>87</v>
      </c>
    </row>
    <row r="6" spans="3:100" ht="20.100000000000001" customHeight="1" x14ac:dyDescent="0.2">
      <c r="J6" s="39" t="str">
        <f t="shared" ref="J6" si="0">TEXT(J7,"mmm d")</f>
        <v>Aug 10</v>
      </c>
      <c r="K6" s="40"/>
      <c r="L6" s="40"/>
      <c r="M6" s="40"/>
      <c r="N6" s="40"/>
      <c r="O6" s="40"/>
      <c r="P6" s="40"/>
      <c r="Q6" s="39" t="str">
        <f t="shared" ref="Q6" si="1">TEXT(Q7,"mmm d")</f>
        <v>Aug 17</v>
      </c>
      <c r="R6" s="40"/>
      <c r="S6" s="40"/>
      <c r="T6" s="40"/>
      <c r="U6" s="40"/>
      <c r="V6" s="40"/>
      <c r="W6" s="40"/>
      <c r="X6" s="39" t="str">
        <f t="shared" ref="X6" si="2">TEXT(X7,"mmm d")</f>
        <v>Aug 24</v>
      </c>
      <c r="Y6" s="40"/>
      <c r="Z6" s="40"/>
      <c r="AA6" s="40"/>
      <c r="AB6" s="40"/>
      <c r="AC6" s="40"/>
      <c r="AD6" s="40"/>
      <c r="AE6" s="39" t="str">
        <f t="shared" ref="AE6" si="3">TEXT(AE7,"mmm d")</f>
        <v>Aug 31</v>
      </c>
      <c r="AF6" s="40"/>
      <c r="AG6" s="40"/>
      <c r="AH6" s="40"/>
      <c r="AI6" s="40"/>
      <c r="AJ6" s="40"/>
      <c r="AK6" s="40"/>
      <c r="AL6" s="39" t="str">
        <f t="shared" ref="AL6" si="4">TEXT(AL7,"mmm d")</f>
        <v>Sep 7</v>
      </c>
      <c r="AM6" s="40"/>
      <c r="AN6" s="40"/>
      <c r="AO6" s="40"/>
      <c r="AP6" s="40"/>
      <c r="AQ6" s="40"/>
      <c r="AR6" s="40"/>
      <c r="AS6" s="39" t="str">
        <f t="shared" ref="AS6" si="5">TEXT(AS7,"mmm d")</f>
        <v>Sep 14</v>
      </c>
      <c r="AT6" s="40"/>
      <c r="AU6" s="40"/>
      <c r="AV6" s="40"/>
      <c r="AW6" s="40"/>
      <c r="AX6" s="40"/>
      <c r="AY6" s="40"/>
      <c r="AZ6" s="39" t="str">
        <f t="shared" ref="AZ6" si="6">TEXT(AZ7,"mmm d")</f>
        <v>Sep 21</v>
      </c>
      <c r="BA6" s="40"/>
      <c r="BB6" s="40"/>
      <c r="BC6" s="40"/>
      <c r="BD6" s="40"/>
      <c r="BE6" s="40"/>
      <c r="BF6" s="40"/>
      <c r="BG6" s="39" t="str">
        <f t="shared" ref="BG6" si="7">TEXT(BG7,"mmm d")</f>
        <v>Sep 28</v>
      </c>
      <c r="BH6" s="40"/>
      <c r="BI6" s="40"/>
      <c r="BJ6" s="40"/>
      <c r="BK6" s="40"/>
      <c r="BL6" s="40"/>
      <c r="BM6" s="40"/>
      <c r="BN6" s="39" t="str">
        <f t="shared" ref="BN6" si="8">TEXT(BN7,"mmm d")</f>
        <v>Oct 5</v>
      </c>
      <c r="BO6" s="40"/>
      <c r="BP6" s="40"/>
      <c r="BQ6" s="40"/>
      <c r="BR6" s="40"/>
      <c r="BS6" s="40"/>
      <c r="BT6" s="40"/>
      <c r="BU6" s="39" t="str">
        <f t="shared" ref="BU6" si="9">TEXT(BU7,"mmm d")</f>
        <v>Oct 12</v>
      </c>
      <c r="BV6" s="40"/>
      <c r="BW6" s="40"/>
      <c r="BX6" s="40"/>
      <c r="BY6" s="40"/>
      <c r="BZ6" s="40"/>
      <c r="CA6" s="40"/>
      <c r="CB6" s="39" t="str">
        <f t="shared" ref="CB6" si="10">TEXT(CB7,"mmm d")</f>
        <v>Oct 19</v>
      </c>
      <c r="CC6" s="40"/>
      <c r="CD6" s="40"/>
      <c r="CE6" s="40"/>
      <c r="CF6" s="40"/>
      <c r="CG6" s="40"/>
      <c r="CH6" s="40"/>
      <c r="CI6" s="39" t="str">
        <f t="shared" ref="CI6" si="11">TEXT(CI7,"mmm d")</f>
        <v>Oct 26</v>
      </c>
      <c r="CJ6" s="40"/>
      <c r="CK6" s="40"/>
      <c r="CL6" s="40"/>
      <c r="CM6" s="40"/>
      <c r="CN6" s="40"/>
      <c r="CO6" s="40"/>
      <c r="CP6" s="39" t="str">
        <f t="shared" ref="CP6" si="12">TEXT(CP7,"mmm d")</f>
        <v>Nov 2</v>
      </c>
      <c r="CQ6" s="40"/>
      <c r="CR6" s="40"/>
      <c r="CS6" s="40"/>
      <c r="CT6" s="40"/>
      <c r="CU6" s="40"/>
      <c r="CV6" s="40"/>
    </row>
    <row r="7" spans="3:100" ht="20.100000000000001" customHeight="1" x14ac:dyDescent="0.2">
      <c r="C7" s="29" t="s">
        <v>88</v>
      </c>
      <c r="D7" s="29" t="s">
        <v>3</v>
      </c>
      <c r="E7" s="29" t="s">
        <v>6</v>
      </c>
      <c r="F7" s="29" t="s">
        <v>89</v>
      </c>
      <c r="G7" s="29" t="s">
        <v>90</v>
      </c>
      <c r="H7" s="29" t="s">
        <v>12</v>
      </c>
      <c r="I7" s="29" t="s">
        <v>91</v>
      </c>
      <c r="J7" s="30">
        <f>$D$4</f>
        <v>46244</v>
      </c>
      <c r="K7" s="30">
        <f t="shared" ref="K7:AP7" si="13">J7+1</f>
        <v>46245</v>
      </c>
      <c r="L7" s="30">
        <f t="shared" si="13"/>
        <v>46246</v>
      </c>
      <c r="M7" s="30">
        <f t="shared" si="13"/>
        <v>46247</v>
      </c>
      <c r="N7" s="30">
        <f t="shared" si="13"/>
        <v>46248</v>
      </c>
      <c r="O7" s="30">
        <f t="shared" si="13"/>
        <v>46249</v>
      </c>
      <c r="P7" s="30">
        <f t="shared" si="13"/>
        <v>46250</v>
      </c>
      <c r="Q7" s="30">
        <f t="shared" si="13"/>
        <v>46251</v>
      </c>
      <c r="R7" s="30">
        <f t="shared" si="13"/>
        <v>46252</v>
      </c>
      <c r="S7" s="30">
        <f t="shared" si="13"/>
        <v>46253</v>
      </c>
      <c r="T7" s="30">
        <f t="shared" si="13"/>
        <v>46254</v>
      </c>
      <c r="U7" s="30">
        <f t="shared" si="13"/>
        <v>46255</v>
      </c>
      <c r="V7" s="30">
        <f t="shared" si="13"/>
        <v>46256</v>
      </c>
      <c r="W7" s="30">
        <f t="shared" si="13"/>
        <v>46257</v>
      </c>
      <c r="X7" s="30">
        <f t="shared" si="13"/>
        <v>46258</v>
      </c>
      <c r="Y7" s="30">
        <f t="shared" si="13"/>
        <v>46259</v>
      </c>
      <c r="Z7" s="30">
        <f t="shared" si="13"/>
        <v>46260</v>
      </c>
      <c r="AA7" s="30">
        <f t="shared" si="13"/>
        <v>46261</v>
      </c>
      <c r="AB7" s="30">
        <f t="shared" si="13"/>
        <v>46262</v>
      </c>
      <c r="AC7" s="30">
        <f t="shared" si="13"/>
        <v>46263</v>
      </c>
      <c r="AD7" s="30">
        <f t="shared" si="13"/>
        <v>46264</v>
      </c>
      <c r="AE7" s="30">
        <f t="shared" si="13"/>
        <v>46265</v>
      </c>
      <c r="AF7" s="30">
        <f t="shared" si="13"/>
        <v>46266</v>
      </c>
      <c r="AG7" s="30">
        <f t="shared" si="13"/>
        <v>46267</v>
      </c>
      <c r="AH7" s="30">
        <f t="shared" si="13"/>
        <v>46268</v>
      </c>
      <c r="AI7" s="30">
        <f t="shared" si="13"/>
        <v>46269</v>
      </c>
      <c r="AJ7" s="30">
        <f t="shared" si="13"/>
        <v>46270</v>
      </c>
      <c r="AK7" s="30">
        <f t="shared" si="13"/>
        <v>46271</v>
      </c>
      <c r="AL7" s="30">
        <f t="shared" si="13"/>
        <v>46272</v>
      </c>
      <c r="AM7" s="30">
        <f t="shared" si="13"/>
        <v>46273</v>
      </c>
      <c r="AN7" s="30">
        <f t="shared" si="13"/>
        <v>46274</v>
      </c>
      <c r="AO7" s="30">
        <f t="shared" si="13"/>
        <v>46275</v>
      </c>
      <c r="AP7" s="30">
        <f t="shared" si="13"/>
        <v>46276</v>
      </c>
      <c r="AQ7" s="30">
        <f t="shared" ref="AQ7:BV7" si="14">AP7+1</f>
        <v>46277</v>
      </c>
      <c r="AR7" s="30">
        <f t="shared" si="14"/>
        <v>46278</v>
      </c>
      <c r="AS7" s="30">
        <f t="shared" si="14"/>
        <v>46279</v>
      </c>
      <c r="AT7" s="30">
        <f t="shared" si="14"/>
        <v>46280</v>
      </c>
      <c r="AU7" s="30">
        <f t="shared" si="14"/>
        <v>46281</v>
      </c>
      <c r="AV7" s="30">
        <f t="shared" si="14"/>
        <v>46282</v>
      </c>
      <c r="AW7" s="30">
        <f t="shared" si="14"/>
        <v>46283</v>
      </c>
      <c r="AX7" s="30">
        <f t="shared" si="14"/>
        <v>46284</v>
      </c>
      <c r="AY7" s="30">
        <f t="shared" si="14"/>
        <v>46285</v>
      </c>
      <c r="AZ7" s="30">
        <f t="shared" si="14"/>
        <v>46286</v>
      </c>
      <c r="BA7" s="30">
        <f t="shared" si="14"/>
        <v>46287</v>
      </c>
      <c r="BB7" s="30">
        <f t="shared" si="14"/>
        <v>46288</v>
      </c>
      <c r="BC7" s="30">
        <f t="shared" si="14"/>
        <v>46289</v>
      </c>
      <c r="BD7" s="30">
        <f t="shared" si="14"/>
        <v>46290</v>
      </c>
      <c r="BE7" s="30">
        <f t="shared" si="14"/>
        <v>46291</v>
      </c>
      <c r="BF7" s="30">
        <f t="shared" si="14"/>
        <v>46292</v>
      </c>
      <c r="BG7" s="30">
        <f t="shared" si="14"/>
        <v>46293</v>
      </c>
      <c r="BH7" s="30">
        <f t="shared" si="14"/>
        <v>46294</v>
      </c>
      <c r="BI7" s="30">
        <f t="shared" si="14"/>
        <v>46295</v>
      </c>
      <c r="BJ7" s="30">
        <f t="shared" si="14"/>
        <v>46296</v>
      </c>
      <c r="BK7" s="30">
        <f t="shared" si="14"/>
        <v>46297</v>
      </c>
      <c r="BL7" s="30">
        <f t="shared" si="14"/>
        <v>46298</v>
      </c>
      <c r="BM7" s="30">
        <f t="shared" si="14"/>
        <v>46299</v>
      </c>
      <c r="BN7" s="30">
        <f t="shared" si="14"/>
        <v>46300</v>
      </c>
      <c r="BO7" s="30">
        <f t="shared" si="14"/>
        <v>46301</v>
      </c>
      <c r="BP7" s="30">
        <f t="shared" si="14"/>
        <v>46302</v>
      </c>
      <c r="BQ7" s="30">
        <f t="shared" si="14"/>
        <v>46303</v>
      </c>
      <c r="BR7" s="30">
        <f t="shared" si="14"/>
        <v>46304</v>
      </c>
      <c r="BS7" s="30">
        <f t="shared" si="14"/>
        <v>46305</v>
      </c>
      <c r="BT7" s="30">
        <f t="shared" si="14"/>
        <v>46306</v>
      </c>
      <c r="BU7" s="30">
        <f t="shared" si="14"/>
        <v>46307</v>
      </c>
      <c r="BV7" s="30">
        <f t="shared" si="14"/>
        <v>46308</v>
      </c>
      <c r="BW7" s="30">
        <f t="shared" ref="BW7:CV7" si="15">BV7+1</f>
        <v>46309</v>
      </c>
      <c r="BX7" s="30">
        <f t="shared" si="15"/>
        <v>46310</v>
      </c>
      <c r="BY7" s="30">
        <f t="shared" si="15"/>
        <v>46311</v>
      </c>
      <c r="BZ7" s="30">
        <f t="shared" si="15"/>
        <v>46312</v>
      </c>
      <c r="CA7" s="30">
        <f t="shared" si="15"/>
        <v>46313</v>
      </c>
      <c r="CB7" s="30">
        <f t="shared" si="15"/>
        <v>46314</v>
      </c>
      <c r="CC7" s="30">
        <f t="shared" si="15"/>
        <v>46315</v>
      </c>
      <c r="CD7" s="30">
        <f t="shared" si="15"/>
        <v>46316</v>
      </c>
      <c r="CE7" s="30">
        <f t="shared" si="15"/>
        <v>46317</v>
      </c>
      <c r="CF7" s="30">
        <f t="shared" si="15"/>
        <v>46318</v>
      </c>
      <c r="CG7" s="30">
        <f t="shared" si="15"/>
        <v>46319</v>
      </c>
      <c r="CH7" s="30">
        <f t="shared" si="15"/>
        <v>46320</v>
      </c>
      <c r="CI7" s="30">
        <f t="shared" si="15"/>
        <v>46321</v>
      </c>
      <c r="CJ7" s="30">
        <f t="shared" si="15"/>
        <v>46322</v>
      </c>
      <c r="CK7" s="30">
        <f t="shared" si="15"/>
        <v>46323</v>
      </c>
      <c r="CL7" s="30">
        <f t="shared" si="15"/>
        <v>46324</v>
      </c>
      <c r="CM7" s="30">
        <f t="shared" si="15"/>
        <v>46325</v>
      </c>
      <c r="CN7" s="30">
        <f t="shared" si="15"/>
        <v>46326</v>
      </c>
      <c r="CO7" s="30">
        <f t="shared" si="15"/>
        <v>46327</v>
      </c>
      <c r="CP7" s="30">
        <f t="shared" si="15"/>
        <v>46328</v>
      </c>
      <c r="CQ7" s="30">
        <f t="shared" si="15"/>
        <v>46329</v>
      </c>
      <c r="CR7" s="30">
        <f t="shared" si="15"/>
        <v>46330</v>
      </c>
      <c r="CS7" s="30">
        <f t="shared" si="15"/>
        <v>46331</v>
      </c>
      <c r="CT7" s="30">
        <f t="shared" si="15"/>
        <v>46332</v>
      </c>
      <c r="CU7" s="30">
        <f t="shared" si="15"/>
        <v>46333</v>
      </c>
      <c r="CV7" s="30">
        <f t="shared" si="15"/>
        <v>46334</v>
      </c>
    </row>
    <row r="8" spans="3:100" x14ac:dyDescent="0.2">
      <c r="C8" s="31" t="str">
        <f>IFERROR(INDEX(tblProjects[Project Name],ROWS($C$8:$C8)),"")</f>
        <v>NTE and NOD tracker</v>
      </c>
      <c r="D8" s="31" t="str">
        <f>IFERROR(INDEX(tblProjects[POC],ROWS($C$8:$C8)),"")</f>
        <v>John Ryan Ariola</v>
      </c>
      <c r="E8" s="31" t="str">
        <f>IFERROR(INDEX(tblProjects[Status],ROWS($C$8:$C8)),"")</f>
        <v>Completed</v>
      </c>
      <c r="F8" s="32">
        <f>IFERROR(INDEX(tblProjects[Start Date],ROWS($C$8:$C8)),"")</f>
        <v>46244</v>
      </c>
      <c r="G8" s="32">
        <f>IFERROR(INDEX(tblProjects[Due Date],ROWS($C$8:$C8)),"")</f>
        <v>46255</v>
      </c>
      <c r="H8" s="33">
        <f>IFERROR(INDEX(tblProjects[Progress],ROWS($C$8:$C8)),"")</f>
        <v>1</v>
      </c>
      <c r="I8" s="31" t="b">
        <f>IFERROR(AND($C8&lt;&gt;"",OR($D$3="",ISNUMBER(SEARCH($D$3,$C8&amp;"|"&amp;$D8&amp;"|"&amp;INDEX(tblProjects[Developer],ROWS($C$8:$C8))&amp;"|"&amp;INDEX(tblProjects[LOB],ROWS($C$8:$C8))))),OR($G$3="All",$G$3=$E8)),FALSE)</f>
        <v>1</v>
      </c>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c r="CV8" s="31"/>
    </row>
    <row r="9" spans="3:100" x14ac:dyDescent="0.2">
      <c r="C9" s="34" t="str">
        <f>IFERROR(INDEX(tblProjects[Project Name],ROWS($C$8:$C9)),"")</f>
        <v>Attendance (with PTO request) tracker</v>
      </c>
      <c r="D9" s="34" t="str">
        <f>IFERROR(INDEX(tblProjects[POC],ROWS($C$8:$C9)),"")</f>
        <v>Charlon Calugay</v>
      </c>
      <c r="E9" s="34" t="str">
        <f>IFERROR(INDEX(tblProjects[Status],ROWS($C$8:$C9)),"")</f>
        <v>Completed</v>
      </c>
      <c r="F9" s="35">
        <f>IFERROR(INDEX(tblProjects[Start Date],ROWS($C$8:$C9)),"")</f>
        <v>46244</v>
      </c>
      <c r="G9" s="35">
        <f>IFERROR(INDEX(tblProjects[Due Date],ROWS($C$8:$C9)),"")</f>
        <v>46255</v>
      </c>
      <c r="H9" s="36">
        <f>IFERROR(INDEX(tblProjects[Progress],ROWS($C$8:$C9)),"")</f>
        <v>1</v>
      </c>
      <c r="I9" s="34" t="b">
        <f>IFERROR(AND($C9&lt;&gt;"",OR($D$3="",ISNUMBER(SEARCH($D$3,$C9&amp;"|"&amp;$D9&amp;"|"&amp;INDEX(tblProjects[Developer],ROWS($C$8:$C9))&amp;"|"&amp;INDEX(tblProjects[LOB],ROWS($C$8:$C9))))),OR($G$3="All",$G$3=$E9)),FALSE)</f>
        <v>1</v>
      </c>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row>
    <row r="10" spans="3:100" x14ac:dyDescent="0.2">
      <c r="C10" s="34" t="str">
        <f>IFERROR(INDEX(tblProjects[Project Name],ROWS($C$8:$C10)),"")</f>
        <v>Payment Integrity - Pends Review</v>
      </c>
      <c r="D10" s="34" t="str">
        <f>IFERROR(INDEX(tblProjects[POC],ROWS($C$8:$C10)),"")</f>
        <v>John Ryan Ariola</v>
      </c>
      <c r="E10" s="34" t="str">
        <f>IFERROR(INDEX(tblProjects[Status],ROWS($C$8:$C10)),"")</f>
        <v>Ongoing</v>
      </c>
      <c r="F10" s="35">
        <f>IFERROR(INDEX(tblProjects[Start Date],ROWS($C$8:$C10)),"")</f>
        <v>46253</v>
      </c>
      <c r="G10" s="35">
        <f>IFERROR(INDEX(tblProjects[Due Date],ROWS($C$8:$C10)),"")</f>
        <v>46260</v>
      </c>
      <c r="H10" s="36">
        <f>IFERROR(INDEX(tblProjects[Progress],ROWS($C$8:$C10)),"")</f>
        <v>1</v>
      </c>
      <c r="I10" s="34" t="b">
        <f>IFERROR(AND($C10&lt;&gt;"",OR($D$3="",ISNUMBER(SEARCH($D$3,$C10&amp;"|"&amp;$D10&amp;"|"&amp;INDEX(tblProjects[Developer],ROWS($C$8:$C10))&amp;"|"&amp;INDEX(tblProjects[LOB],ROWS($C$8:$C10))))),OR($G$3="All",$G$3=$E10)),FALSE)</f>
        <v>1</v>
      </c>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row>
    <row r="11" spans="3:100" x14ac:dyDescent="0.2">
      <c r="C11" s="34" t="str">
        <f>IFERROR(INDEX(tblProjects[Project Name],ROWS($C$8:$C11)),"")</f>
        <v>OPIDs Review</v>
      </c>
      <c r="D11" s="34" t="str">
        <f>IFERROR(INDEX(tblProjects[POC],ROWS($C$8:$C11)),"")</f>
        <v>Justin Umali</v>
      </c>
      <c r="E11" s="34" t="str">
        <f>IFERROR(INDEX(tblProjects[Status],ROWS($C$8:$C11)),"")</f>
        <v>Completed</v>
      </c>
      <c r="F11" s="35">
        <f>IFERROR(INDEX(tblProjects[Start Date],ROWS($C$8:$C11)),"")</f>
        <v>46251</v>
      </c>
      <c r="G11" s="35">
        <f>IFERROR(INDEX(tblProjects[Due Date],ROWS($C$8:$C11)),"")</f>
        <v>46255</v>
      </c>
      <c r="H11" s="36">
        <f>IFERROR(INDEX(tblProjects[Progress],ROWS($C$8:$C11)),"")</f>
        <v>1</v>
      </c>
      <c r="I11" s="34" t="b">
        <f>IFERROR(AND($C11&lt;&gt;"",OR($D$3="",ISNUMBER(SEARCH($D$3,$C11&amp;"|"&amp;$D11&amp;"|"&amp;INDEX(tblProjects[Developer],ROWS($C$8:$C11))&amp;"|"&amp;INDEX(tblProjects[LOB],ROWS($C$8:$C11))))),OR($G$3="All",$G$3=$E11)),FALSE)</f>
        <v>1</v>
      </c>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row>
    <row r="12" spans="3:100" x14ac:dyDescent="0.2">
      <c r="C12" s="34" t="str">
        <f>IFERROR(INDEX(tblProjects[Project Name],ROWS($C$8:$C12)),"")</f>
        <v>Genpro</v>
      </c>
      <c r="D12" s="34" t="str">
        <f>IFERROR(INDEX(tblProjects[POC],ROWS($C$8:$C12)),"")</f>
        <v>Pope Tuazon</v>
      </c>
      <c r="E12" s="34" t="str">
        <f>IFERROR(INDEX(tblProjects[Status],ROWS($C$8:$C12)),"")</f>
        <v>Completed</v>
      </c>
      <c r="F12" s="35">
        <f>IFERROR(INDEX(tblProjects[Start Date],ROWS($C$8:$C12)),"")</f>
        <v>46251</v>
      </c>
      <c r="G12" s="35">
        <f>IFERROR(INDEX(tblProjects[Due Date],ROWS($C$8:$C12)),"")</f>
        <v>46255</v>
      </c>
      <c r="H12" s="36">
        <f>IFERROR(INDEX(tblProjects[Progress],ROWS($C$8:$C12)),"")</f>
        <v>1</v>
      </c>
      <c r="I12" s="34" t="b">
        <f>IFERROR(AND($C12&lt;&gt;"",OR($D$3="",ISNUMBER(SEARCH($D$3,$C12&amp;"|"&amp;$D12&amp;"|"&amp;INDEX(tblProjects[Developer],ROWS($C$8:$C12))&amp;"|"&amp;INDEX(tblProjects[LOB],ROWS($C$8:$C12))))),OR($G$3="All",$G$3=$E12)),FALSE)</f>
        <v>1</v>
      </c>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row>
    <row r="13" spans="3:100" x14ac:dyDescent="0.2">
      <c r="C13" s="34" t="str">
        <f>IFERROR(INDEX(tblProjects[Project Name],ROWS($C$8:$C13)),"")</f>
        <v>Employee Dashboard</v>
      </c>
      <c r="D13" s="34" t="str">
        <f>IFERROR(INDEX(tblProjects[POC],ROWS($C$8:$C13)),"")</f>
        <v>John Ryan Ariola</v>
      </c>
      <c r="E13" s="34" t="str">
        <f>IFERROR(INDEX(tblProjects[Status],ROWS($C$8:$C13)),"")</f>
        <v>Ongoing</v>
      </c>
      <c r="F13" s="35">
        <f>IFERROR(INDEX(tblProjects[Start Date],ROWS($C$8:$C13)),"")</f>
        <v>46244</v>
      </c>
      <c r="G13" s="35">
        <f>IFERROR(INDEX(tblProjects[Due Date],ROWS($C$8:$C13)),"")</f>
        <v>46269</v>
      </c>
      <c r="H13" s="36">
        <f>IFERROR(INDEX(tblProjects[Progress],ROWS($C$8:$C13)),"")</f>
        <v>0.5</v>
      </c>
      <c r="I13" s="34" t="b">
        <f>IFERROR(AND($C13&lt;&gt;"",OR($D$3="",ISNUMBER(SEARCH($D$3,$C13&amp;"|"&amp;$D13&amp;"|"&amp;INDEX(tblProjects[Developer],ROWS($C$8:$C13))&amp;"|"&amp;INDEX(tblProjects[LOB],ROWS($C$8:$C13))))),OR($G$3="All",$G$3=$E13)),FALSE)</f>
        <v>1</v>
      </c>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row>
    <row r="14" spans="3:100" x14ac:dyDescent="0.2">
      <c r="C14" s="34" t="str">
        <f>IFERROR(INDEX(tblProjects[Project Name],ROWS($C$8:$C14)),"")</f>
        <v>New Ansir Apps for NonCOB</v>
      </c>
      <c r="D14" s="34" t="str">
        <f>IFERROR(INDEX(tblProjects[POC],ROWS($C$8:$C14)),"")</f>
        <v>Shine Abdulhalik</v>
      </c>
      <c r="E14" s="34" t="str">
        <f>IFERROR(INDEX(tblProjects[Status],ROWS($C$8:$C14)),"")</f>
        <v>Ongoing</v>
      </c>
      <c r="F14" s="35">
        <f>IFERROR(INDEX(tblProjects[Start Date],ROWS($C$8:$C14)),"")</f>
        <v>46244</v>
      </c>
      <c r="G14" s="35">
        <f>IFERROR(INDEX(tblProjects[Due Date],ROWS($C$8:$C14)),"")</f>
        <v>46266</v>
      </c>
      <c r="H14" s="36">
        <f>IFERROR(INDEX(tblProjects[Progress],ROWS($C$8:$C14)),"")</f>
        <v>0.75</v>
      </c>
      <c r="I14" s="34" t="b">
        <f>IFERROR(AND($C14&lt;&gt;"",OR($D$3="",ISNUMBER(SEARCH($D$3,$C14&amp;"|"&amp;$D14&amp;"|"&amp;INDEX(tblProjects[Developer],ROWS($C$8:$C14))&amp;"|"&amp;INDEX(tblProjects[LOB],ROWS($C$8:$C14))))),OR($G$3="All",$G$3=$E14)),FALSE)</f>
        <v>1</v>
      </c>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row>
    <row r="15" spans="3:100" x14ac:dyDescent="0.2">
      <c r="C15" s="34" t="str">
        <f>IFERROR(INDEX(tblProjects[Project Name],ROWS($C$8:$C15)),"")</f>
        <v>Ansir Calculator for NonCOB</v>
      </c>
      <c r="D15" s="34" t="str">
        <f>IFERROR(INDEX(tblProjects[POC],ROWS($C$8:$C15)),"")</f>
        <v>Junie Ann Martinez</v>
      </c>
      <c r="E15" s="34" t="str">
        <f>IFERROR(INDEX(tblProjects[Status],ROWS($C$8:$C15)),"")</f>
        <v>Ongoing</v>
      </c>
      <c r="F15" s="35">
        <f>IFERROR(INDEX(tblProjects[Start Date],ROWS($C$8:$C15)),"")</f>
        <v>46244</v>
      </c>
      <c r="G15" s="35">
        <f>IFERROR(INDEX(tblProjects[Due Date],ROWS($C$8:$C15)),"")</f>
        <v>46266</v>
      </c>
      <c r="H15" s="36">
        <f>IFERROR(INDEX(tblProjects[Progress],ROWS($C$8:$C15)),"")</f>
        <v>0.75</v>
      </c>
      <c r="I15" s="34" t="b">
        <f>IFERROR(AND($C15&lt;&gt;"",OR($D$3="",ISNUMBER(SEARCH($D$3,$C15&amp;"|"&amp;$D15&amp;"|"&amp;INDEX(tblProjects[Developer],ROWS($C$8:$C15))&amp;"|"&amp;INDEX(tblProjects[LOB],ROWS($C$8:$C15))))),OR($G$3="All",$G$3=$E15)),FALSE)</f>
        <v>1</v>
      </c>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row>
    <row r="16" spans="3:100" x14ac:dyDescent="0.2">
      <c r="C16" s="34" t="str">
        <f>IFERROR(INDEX(tblProjects[Project Name],ROWS($C$8:$C16)),"")</f>
        <v>RootCauseAnalysis</v>
      </c>
      <c r="D16" s="34" t="str">
        <f>IFERROR(INDEX(tblProjects[POC],ROWS($C$8:$C16)),"")</f>
        <v>John Ryan Ariola</v>
      </c>
      <c r="E16" s="34" t="str">
        <f>IFERROR(INDEX(tblProjects[Status],ROWS($C$8:$C16)),"")</f>
        <v>Ongoing</v>
      </c>
      <c r="F16" s="35">
        <f>IFERROR(INDEX(tblProjects[Start Date],ROWS($C$8:$C16)),"")</f>
        <v>46273</v>
      </c>
      <c r="G16" s="35">
        <f>IFERROR(INDEX(tblProjects[Due Date],ROWS($C$8:$C16)),"")</f>
        <v>46276</v>
      </c>
      <c r="H16" s="36">
        <f>IFERROR(INDEX(tblProjects[Progress],ROWS($C$8:$C16)),"")</f>
        <v>0.75</v>
      </c>
      <c r="I16" s="34" t="b">
        <f>IFERROR(AND($C16&lt;&gt;"",OR($D$3="",ISNUMBER(SEARCH($D$3,$C16&amp;"|"&amp;$D16&amp;"|"&amp;INDEX(tblProjects[Developer],ROWS($C$8:$C16))&amp;"|"&amp;INDEX(tblProjects[LOB],ROWS($C$8:$C16))))),OR($G$3="All",$G$3=$E16)),FALSE)</f>
        <v>1</v>
      </c>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row>
    <row r="17" spans="3:100" x14ac:dyDescent="0.2">
      <c r="C17" s="34" t="str">
        <f>IFERROR(INDEX(tblProjects[Project Name],ROWS($C$8:$C17)),"")</f>
        <v>Project axis</v>
      </c>
      <c r="D17" s="34" t="str">
        <f>IFERROR(INDEX(tblProjects[POC],ROWS($C$8:$C17)),"")</f>
        <v>Rachel Costiniano</v>
      </c>
      <c r="E17" s="34" t="str">
        <f>IFERROR(INDEX(tblProjects[Status],ROWS($C$8:$C17)),"")</f>
        <v>Ongoing</v>
      </c>
      <c r="F17" s="35">
        <f>IFERROR(INDEX(tblProjects[Start Date],ROWS($C$8:$C17)),"")</f>
        <v>46318</v>
      </c>
      <c r="G17" s="35">
        <f>IFERROR(INDEX(tblProjects[Due Date],ROWS($C$8:$C17)),"")</f>
        <v>46321</v>
      </c>
      <c r="H17" s="36">
        <f>IFERROR(INDEX(tblProjects[Progress],ROWS($C$8:$C17)),"")</f>
        <v>0.25</v>
      </c>
      <c r="I17" s="34" t="b">
        <f>IFERROR(AND($C17&lt;&gt;"",OR($D$3="",ISNUMBER(SEARCH($D$3,$C17&amp;"|"&amp;$D17&amp;"|"&amp;INDEX(tblProjects[Developer],ROWS($C$8:$C17))&amp;"|"&amp;INDEX(tblProjects[LOB],ROWS($C$8:$C17))))),OR($G$3="All",$G$3=$E17)),FALSE)</f>
        <v>1</v>
      </c>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row>
    <row r="18" spans="3:100" x14ac:dyDescent="0.2">
      <c r="C18" s="34" t="str">
        <f>IFERROR(INDEX(tblProjects[Project Name],ROWS($C$8:$C18)),"")</f>
        <v/>
      </c>
      <c r="D18" s="34" t="str">
        <f>IFERROR(INDEX(tblProjects[POC],ROWS($C$8:$C18)),"")</f>
        <v/>
      </c>
      <c r="E18" s="34" t="str">
        <f>IFERROR(INDEX(tblProjects[Status],ROWS($C$8:$C18)),"")</f>
        <v/>
      </c>
      <c r="F18" s="35" t="str">
        <f>IFERROR(INDEX(tblProjects[Start Date],ROWS($C$8:$C18)),"")</f>
        <v/>
      </c>
      <c r="G18" s="35" t="str">
        <f>IFERROR(INDEX(tblProjects[Due Date],ROWS($C$8:$C18)),"")</f>
        <v/>
      </c>
      <c r="H18" s="36" t="str">
        <f>IFERROR(INDEX(tblProjects[Progress],ROWS($C$8:$C18)),"")</f>
        <v/>
      </c>
      <c r="I18" s="34" t="b">
        <f>IFERROR(AND($C18&lt;&gt;"",OR($D$3="",ISNUMBER(SEARCH($D$3,$C18&amp;"|"&amp;$D18&amp;"|"&amp;INDEX(tblProjects[Developer],ROWS($C$8:$C18))&amp;"|"&amp;INDEX(tblProjects[LOB],ROWS($C$8:$C18))))),OR($G$3="All",$G$3=$E18)),FALSE)</f>
        <v>0</v>
      </c>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row>
    <row r="19" spans="3:100" x14ac:dyDescent="0.2">
      <c r="C19" s="34" t="str">
        <f>IFERROR(INDEX(tblProjects[Project Name],ROWS($C$8:$C19)),"")</f>
        <v/>
      </c>
      <c r="D19" s="34" t="str">
        <f>IFERROR(INDEX(tblProjects[POC],ROWS($C$8:$C19)),"")</f>
        <v/>
      </c>
      <c r="E19" s="34" t="str">
        <f>IFERROR(INDEX(tblProjects[Status],ROWS($C$8:$C19)),"")</f>
        <v/>
      </c>
      <c r="F19" s="35" t="str">
        <f>IFERROR(INDEX(tblProjects[Start Date],ROWS($C$8:$C19)),"")</f>
        <v/>
      </c>
      <c r="G19" s="35" t="str">
        <f>IFERROR(INDEX(tblProjects[Due Date],ROWS($C$8:$C19)),"")</f>
        <v/>
      </c>
      <c r="H19" s="36" t="str">
        <f>IFERROR(INDEX(tblProjects[Progress],ROWS($C$8:$C19)),"")</f>
        <v/>
      </c>
      <c r="I19" s="34" t="b">
        <f>IFERROR(AND($C19&lt;&gt;"",OR($D$3="",ISNUMBER(SEARCH($D$3,$C19&amp;"|"&amp;$D19&amp;"|"&amp;INDEX(tblProjects[Developer],ROWS($C$8:$C19))&amp;"|"&amp;INDEX(tblProjects[LOB],ROWS($C$8:$C19))))),OR($G$3="All",$G$3=$E19)),FALSE)</f>
        <v>0</v>
      </c>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row>
    <row r="20" spans="3:100" x14ac:dyDescent="0.2">
      <c r="C20" s="34" t="str">
        <f>IFERROR(INDEX(tblProjects[Project Name],ROWS($C$8:$C20)),"")</f>
        <v/>
      </c>
      <c r="D20" s="34" t="str">
        <f>IFERROR(INDEX(tblProjects[POC],ROWS($C$8:$C20)),"")</f>
        <v/>
      </c>
      <c r="E20" s="34" t="str">
        <f>IFERROR(INDEX(tblProjects[Status],ROWS($C$8:$C20)),"")</f>
        <v/>
      </c>
      <c r="F20" s="35" t="str">
        <f>IFERROR(INDEX(tblProjects[Start Date],ROWS($C$8:$C20)),"")</f>
        <v/>
      </c>
      <c r="G20" s="35" t="str">
        <f>IFERROR(INDEX(tblProjects[Due Date],ROWS($C$8:$C20)),"")</f>
        <v/>
      </c>
      <c r="H20" s="36" t="str">
        <f>IFERROR(INDEX(tblProjects[Progress],ROWS($C$8:$C20)),"")</f>
        <v/>
      </c>
      <c r="I20" s="34" t="b">
        <f>IFERROR(AND($C20&lt;&gt;"",OR($D$3="",ISNUMBER(SEARCH($D$3,$C20&amp;"|"&amp;$D20&amp;"|"&amp;INDEX(tblProjects[Developer],ROWS($C$8:$C20))&amp;"|"&amp;INDEX(tblProjects[LOB],ROWS($C$8:$C20))))),OR($G$3="All",$G$3=$E20)),FALSE)</f>
        <v>0</v>
      </c>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row>
    <row r="21" spans="3:100" x14ac:dyDescent="0.2">
      <c r="C21" s="34" t="str">
        <f>IFERROR(INDEX(tblProjects[Project Name],ROWS($C$8:$C21)),"")</f>
        <v/>
      </c>
      <c r="D21" s="34" t="str">
        <f>IFERROR(INDEX(tblProjects[POC],ROWS($C$8:$C21)),"")</f>
        <v/>
      </c>
      <c r="E21" s="34" t="str">
        <f>IFERROR(INDEX(tblProjects[Status],ROWS($C$8:$C21)),"")</f>
        <v/>
      </c>
      <c r="F21" s="35" t="str">
        <f>IFERROR(INDEX(tblProjects[Start Date],ROWS($C$8:$C21)),"")</f>
        <v/>
      </c>
      <c r="G21" s="35" t="str">
        <f>IFERROR(INDEX(tblProjects[Due Date],ROWS($C$8:$C21)),"")</f>
        <v/>
      </c>
      <c r="H21" s="36" t="str">
        <f>IFERROR(INDEX(tblProjects[Progress],ROWS($C$8:$C21)),"")</f>
        <v/>
      </c>
      <c r="I21" s="34" t="b">
        <f>IFERROR(AND($C21&lt;&gt;"",OR($D$3="",ISNUMBER(SEARCH($D$3,$C21&amp;"|"&amp;$D21&amp;"|"&amp;INDEX(tblProjects[Developer],ROWS($C$8:$C21))&amp;"|"&amp;INDEX(tblProjects[LOB],ROWS($C$8:$C21))))),OR($G$3="All",$G$3=$E21)),FALSE)</f>
        <v>0</v>
      </c>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row>
    <row r="22" spans="3:100" x14ac:dyDescent="0.2">
      <c r="C22" s="34" t="str">
        <f>IFERROR(INDEX(tblProjects[Project Name],ROWS($C$8:$C22)),"")</f>
        <v/>
      </c>
      <c r="D22" s="34" t="str">
        <f>IFERROR(INDEX(tblProjects[POC],ROWS($C$8:$C22)),"")</f>
        <v/>
      </c>
      <c r="E22" s="34" t="str">
        <f>IFERROR(INDEX(tblProjects[Status],ROWS($C$8:$C22)),"")</f>
        <v/>
      </c>
      <c r="F22" s="35" t="str">
        <f>IFERROR(INDEX(tblProjects[Start Date],ROWS($C$8:$C22)),"")</f>
        <v/>
      </c>
      <c r="G22" s="35" t="str">
        <f>IFERROR(INDEX(tblProjects[Due Date],ROWS($C$8:$C22)),"")</f>
        <v/>
      </c>
      <c r="H22" s="36" t="str">
        <f>IFERROR(INDEX(tblProjects[Progress],ROWS($C$8:$C22)),"")</f>
        <v/>
      </c>
      <c r="I22" s="34" t="b">
        <f>IFERROR(AND($C22&lt;&gt;"",OR($D$3="",ISNUMBER(SEARCH($D$3,$C22&amp;"|"&amp;$D22&amp;"|"&amp;INDEX(tblProjects[Developer],ROWS($C$8:$C22))&amp;"|"&amp;INDEX(tblProjects[LOB],ROWS($C$8:$C22))))),OR($G$3="All",$G$3=$E22)),FALSE)</f>
        <v>0</v>
      </c>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row>
    <row r="23" spans="3:100" x14ac:dyDescent="0.2">
      <c r="C23" s="34" t="str">
        <f>IFERROR(INDEX(tblProjects[Project Name],ROWS($C$8:$C23)),"")</f>
        <v/>
      </c>
      <c r="D23" s="34" t="str">
        <f>IFERROR(INDEX(tblProjects[POC],ROWS($C$8:$C23)),"")</f>
        <v/>
      </c>
      <c r="E23" s="34" t="str">
        <f>IFERROR(INDEX(tblProjects[Status],ROWS($C$8:$C23)),"")</f>
        <v/>
      </c>
      <c r="F23" s="35" t="str">
        <f>IFERROR(INDEX(tblProjects[Start Date],ROWS($C$8:$C23)),"")</f>
        <v/>
      </c>
      <c r="G23" s="35" t="str">
        <f>IFERROR(INDEX(tblProjects[Due Date],ROWS($C$8:$C23)),"")</f>
        <v/>
      </c>
      <c r="H23" s="36" t="str">
        <f>IFERROR(INDEX(tblProjects[Progress],ROWS($C$8:$C23)),"")</f>
        <v/>
      </c>
      <c r="I23" s="34" t="b">
        <f>IFERROR(AND($C23&lt;&gt;"",OR($D$3="",ISNUMBER(SEARCH($D$3,$C23&amp;"|"&amp;$D23&amp;"|"&amp;INDEX(tblProjects[Developer],ROWS($C$8:$C23))&amp;"|"&amp;INDEX(tblProjects[LOB],ROWS($C$8:$C23))))),OR($G$3="All",$G$3=$E23)),FALSE)</f>
        <v>0</v>
      </c>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34"/>
      <c r="CV23" s="34"/>
    </row>
    <row r="24" spans="3:100" x14ac:dyDescent="0.2">
      <c r="C24" s="34" t="str">
        <f>IFERROR(INDEX(tblProjects[Project Name],ROWS($C$8:$C24)),"")</f>
        <v/>
      </c>
      <c r="D24" s="34" t="str">
        <f>IFERROR(INDEX(tblProjects[POC],ROWS($C$8:$C24)),"")</f>
        <v/>
      </c>
      <c r="E24" s="34" t="str">
        <f>IFERROR(INDEX(tblProjects[Status],ROWS($C$8:$C24)),"")</f>
        <v/>
      </c>
      <c r="F24" s="35" t="str">
        <f>IFERROR(INDEX(tblProjects[Start Date],ROWS($C$8:$C24)),"")</f>
        <v/>
      </c>
      <c r="G24" s="35" t="str">
        <f>IFERROR(INDEX(tblProjects[Due Date],ROWS($C$8:$C24)),"")</f>
        <v/>
      </c>
      <c r="H24" s="36" t="str">
        <f>IFERROR(INDEX(tblProjects[Progress],ROWS($C$8:$C24)),"")</f>
        <v/>
      </c>
      <c r="I24" s="34" t="b">
        <f>IFERROR(AND($C24&lt;&gt;"",OR($D$3="",ISNUMBER(SEARCH($D$3,$C24&amp;"|"&amp;$D24&amp;"|"&amp;INDEX(tblProjects[Developer],ROWS($C$8:$C24))&amp;"|"&amp;INDEX(tblProjects[LOB],ROWS($C$8:$C24))))),OR($G$3="All",$G$3=$E24)),FALSE)</f>
        <v>0</v>
      </c>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row>
    <row r="25" spans="3:100" x14ac:dyDescent="0.2">
      <c r="C25" s="34" t="str">
        <f>IFERROR(INDEX(tblProjects[Project Name],ROWS($C$8:$C25)),"")</f>
        <v/>
      </c>
      <c r="D25" s="34" t="str">
        <f>IFERROR(INDEX(tblProjects[POC],ROWS($C$8:$C25)),"")</f>
        <v/>
      </c>
      <c r="E25" s="34" t="str">
        <f>IFERROR(INDEX(tblProjects[Status],ROWS($C$8:$C25)),"")</f>
        <v/>
      </c>
      <c r="F25" s="35" t="str">
        <f>IFERROR(INDEX(tblProjects[Start Date],ROWS($C$8:$C25)),"")</f>
        <v/>
      </c>
      <c r="G25" s="35" t="str">
        <f>IFERROR(INDEX(tblProjects[Due Date],ROWS($C$8:$C25)),"")</f>
        <v/>
      </c>
      <c r="H25" s="36" t="str">
        <f>IFERROR(INDEX(tblProjects[Progress],ROWS($C$8:$C25)),"")</f>
        <v/>
      </c>
      <c r="I25" s="34" t="b">
        <f>IFERROR(AND($C25&lt;&gt;"",OR($D$3="",ISNUMBER(SEARCH($D$3,$C25&amp;"|"&amp;$D25&amp;"|"&amp;INDEX(tblProjects[Developer],ROWS($C$8:$C25))&amp;"|"&amp;INDEX(tblProjects[LOB],ROWS($C$8:$C25))))),OR($G$3="All",$G$3=$E25)),FALSE)</f>
        <v>0</v>
      </c>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row>
    <row r="26" spans="3:100" x14ac:dyDescent="0.2">
      <c r="C26" s="34" t="str">
        <f>IFERROR(INDEX(tblProjects[Project Name],ROWS($C$8:$C26)),"")</f>
        <v/>
      </c>
      <c r="D26" s="34" t="str">
        <f>IFERROR(INDEX(tblProjects[POC],ROWS($C$8:$C26)),"")</f>
        <v/>
      </c>
      <c r="E26" s="34" t="str">
        <f>IFERROR(INDEX(tblProjects[Status],ROWS($C$8:$C26)),"")</f>
        <v/>
      </c>
      <c r="F26" s="35" t="str">
        <f>IFERROR(INDEX(tblProjects[Start Date],ROWS($C$8:$C26)),"")</f>
        <v/>
      </c>
      <c r="G26" s="35" t="str">
        <f>IFERROR(INDEX(tblProjects[Due Date],ROWS($C$8:$C26)),"")</f>
        <v/>
      </c>
      <c r="H26" s="36" t="str">
        <f>IFERROR(INDEX(tblProjects[Progress],ROWS($C$8:$C26)),"")</f>
        <v/>
      </c>
      <c r="I26" s="34" t="b">
        <f>IFERROR(AND($C26&lt;&gt;"",OR($D$3="",ISNUMBER(SEARCH($D$3,$C26&amp;"|"&amp;$D26&amp;"|"&amp;INDEX(tblProjects[Developer],ROWS($C$8:$C26))&amp;"|"&amp;INDEX(tblProjects[LOB],ROWS($C$8:$C26))))),OR($G$3="All",$G$3=$E26)),FALSE)</f>
        <v>0</v>
      </c>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row>
    <row r="27" spans="3:100" x14ac:dyDescent="0.2">
      <c r="C27" s="34" t="str">
        <f>IFERROR(INDEX(tblProjects[Project Name],ROWS($C$8:$C27)),"")</f>
        <v/>
      </c>
      <c r="D27" s="34" t="str">
        <f>IFERROR(INDEX(tblProjects[POC],ROWS($C$8:$C27)),"")</f>
        <v/>
      </c>
      <c r="E27" s="34" t="str">
        <f>IFERROR(INDEX(tblProjects[Status],ROWS($C$8:$C27)),"")</f>
        <v/>
      </c>
      <c r="F27" s="35" t="str">
        <f>IFERROR(INDEX(tblProjects[Start Date],ROWS($C$8:$C27)),"")</f>
        <v/>
      </c>
      <c r="G27" s="35" t="str">
        <f>IFERROR(INDEX(tblProjects[Due Date],ROWS($C$8:$C27)),"")</f>
        <v/>
      </c>
      <c r="H27" s="36" t="str">
        <f>IFERROR(INDEX(tblProjects[Progress],ROWS($C$8:$C27)),"")</f>
        <v/>
      </c>
      <c r="I27" s="34" t="b">
        <f>IFERROR(AND($C27&lt;&gt;"",OR($D$3="",ISNUMBER(SEARCH($D$3,$C27&amp;"|"&amp;$D27&amp;"|"&amp;INDEX(tblProjects[Developer],ROWS($C$8:$C27))&amp;"|"&amp;INDEX(tblProjects[LOB],ROWS($C$8:$C27))))),OR($G$3="All",$G$3=$E27)),FALSE)</f>
        <v>0</v>
      </c>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row>
    <row r="28" spans="3:100" x14ac:dyDescent="0.2">
      <c r="C28" s="34" t="str">
        <f>IFERROR(INDEX(tblProjects[Project Name],ROWS($C$8:$C28)),"")</f>
        <v/>
      </c>
      <c r="D28" s="34" t="str">
        <f>IFERROR(INDEX(tblProjects[POC],ROWS($C$8:$C28)),"")</f>
        <v/>
      </c>
      <c r="E28" s="34" t="str">
        <f>IFERROR(INDEX(tblProjects[Status],ROWS($C$8:$C28)),"")</f>
        <v/>
      </c>
      <c r="F28" s="35" t="str">
        <f>IFERROR(INDEX(tblProjects[Start Date],ROWS($C$8:$C28)),"")</f>
        <v/>
      </c>
      <c r="G28" s="35" t="str">
        <f>IFERROR(INDEX(tblProjects[Due Date],ROWS($C$8:$C28)),"")</f>
        <v/>
      </c>
      <c r="H28" s="36" t="str">
        <f>IFERROR(INDEX(tblProjects[Progress],ROWS($C$8:$C28)),"")</f>
        <v/>
      </c>
      <c r="I28" s="34" t="b">
        <f>IFERROR(AND($C28&lt;&gt;"",OR($D$3="",ISNUMBER(SEARCH($D$3,$C28&amp;"|"&amp;$D28&amp;"|"&amp;INDEX(tblProjects[Developer],ROWS($C$8:$C28))&amp;"|"&amp;INDEX(tblProjects[LOB],ROWS($C$8:$C28))))),OR($G$3="All",$G$3=$E28)),FALSE)</f>
        <v>0</v>
      </c>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row>
    <row r="29" spans="3:100" x14ac:dyDescent="0.2">
      <c r="C29" s="34" t="str">
        <f>IFERROR(INDEX(tblProjects[Project Name],ROWS($C$8:$C29)),"")</f>
        <v/>
      </c>
      <c r="D29" s="34" t="str">
        <f>IFERROR(INDEX(tblProjects[POC],ROWS($C$8:$C29)),"")</f>
        <v/>
      </c>
      <c r="E29" s="34" t="str">
        <f>IFERROR(INDEX(tblProjects[Status],ROWS($C$8:$C29)),"")</f>
        <v/>
      </c>
      <c r="F29" s="35" t="str">
        <f>IFERROR(INDEX(tblProjects[Start Date],ROWS($C$8:$C29)),"")</f>
        <v/>
      </c>
      <c r="G29" s="35" t="str">
        <f>IFERROR(INDEX(tblProjects[Due Date],ROWS($C$8:$C29)),"")</f>
        <v/>
      </c>
      <c r="H29" s="36" t="str">
        <f>IFERROR(INDEX(tblProjects[Progress],ROWS($C$8:$C29)),"")</f>
        <v/>
      </c>
      <c r="I29" s="34" t="b">
        <f>IFERROR(AND($C29&lt;&gt;"",OR($D$3="",ISNUMBER(SEARCH($D$3,$C29&amp;"|"&amp;$D29&amp;"|"&amp;INDEX(tblProjects[Developer],ROWS($C$8:$C29))&amp;"|"&amp;INDEX(tblProjects[LOB],ROWS($C$8:$C29))))),OR($G$3="All",$G$3=$E29)),FALSE)</f>
        <v>0</v>
      </c>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c r="CK29" s="34"/>
      <c r="CL29" s="34"/>
      <c r="CM29" s="34"/>
      <c r="CN29" s="34"/>
      <c r="CO29" s="34"/>
      <c r="CP29" s="34"/>
      <c r="CQ29" s="34"/>
      <c r="CR29" s="34"/>
      <c r="CS29" s="34"/>
      <c r="CT29" s="34"/>
      <c r="CU29" s="34"/>
      <c r="CV29" s="34"/>
    </row>
    <row r="30" spans="3:100" x14ac:dyDescent="0.2">
      <c r="C30" s="34" t="str">
        <f>IFERROR(INDEX(tblProjects[Project Name],ROWS($C$8:$C30)),"")</f>
        <v/>
      </c>
      <c r="D30" s="34" t="str">
        <f>IFERROR(INDEX(tblProjects[POC],ROWS($C$8:$C30)),"")</f>
        <v/>
      </c>
      <c r="E30" s="34" t="str">
        <f>IFERROR(INDEX(tblProjects[Status],ROWS($C$8:$C30)),"")</f>
        <v/>
      </c>
      <c r="F30" s="35" t="str">
        <f>IFERROR(INDEX(tblProjects[Start Date],ROWS($C$8:$C30)),"")</f>
        <v/>
      </c>
      <c r="G30" s="35" t="str">
        <f>IFERROR(INDEX(tblProjects[Due Date],ROWS($C$8:$C30)),"")</f>
        <v/>
      </c>
      <c r="H30" s="36" t="str">
        <f>IFERROR(INDEX(tblProjects[Progress],ROWS($C$8:$C30)),"")</f>
        <v/>
      </c>
      <c r="I30" s="34" t="b">
        <f>IFERROR(AND($C30&lt;&gt;"",OR($D$3="",ISNUMBER(SEARCH($D$3,$C30&amp;"|"&amp;$D30&amp;"|"&amp;INDEX(tblProjects[Developer],ROWS($C$8:$C30))&amp;"|"&amp;INDEX(tblProjects[LOB],ROWS($C$8:$C30))))),OR($G$3="All",$G$3=$E30)),FALSE)</f>
        <v>0</v>
      </c>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c r="CT30" s="34"/>
      <c r="CU30" s="34"/>
      <c r="CV30" s="34"/>
    </row>
    <row r="31" spans="3:100" x14ac:dyDescent="0.2">
      <c r="C31" s="34" t="str">
        <f>IFERROR(INDEX(tblProjects[Project Name],ROWS($C$8:$C31)),"")</f>
        <v/>
      </c>
      <c r="D31" s="34" t="str">
        <f>IFERROR(INDEX(tblProjects[POC],ROWS($C$8:$C31)),"")</f>
        <v/>
      </c>
      <c r="E31" s="34" t="str">
        <f>IFERROR(INDEX(tblProjects[Status],ROWS($C$8:$C31)),"")</f>
        <v/>
      </c>
      <c r="F31" s="35" t="str">
        <f>IFERROR(INDEX(tblProjects[Start Date],ROWS($C$8:$C31)),"")</f>
        <v/>
      </c>
      <c r="G31" s="35" t="str">
        <f>IFERROR(INDEX(tblProjects[Due Date],ROWS($C$8:$C31)),"")</f>
        <v/>
      </c>
      <c r="H31" s="36" t="str">
        <f>IFERROR(INDEX(tblProjects[Progress],ROWS($C$8:$C31)),"")</f>
        <v/>
      </c>
      <c r="I31" s="34" t="b">
        <f>IFERROR(AND($C31&lt;&gt;"",OR($D$3="",ISNUMBER(SEARCH($D$3,$C31&amp;"|"&amp;$D31&amp;"|"&amp;INDEX(tblProjects[Developer],ROWS($C$8:$C31))&amp;"|"&amp;INDEX(tblProjects[LOB],ROWS($C$8:$C31))))),OR($G$3="All",$G$3=$E31)),FALSE)</f>
        <v>0</v>
      </c>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row>
    <row r="32" spans="3:100" x14ac:dyDescent="0.2">
      <c r="C32" s="34" t="str">
        <f>IFERROR(INDEX(tblProjects[Project Name],ROWS($C$8:$C32)),"")</f>
        <v/>
      </c>
      <c r="D32" s="34" t="str">
        <f>IFERROR(INDEX(tblProjects[POC],ROWS($C$8:$C32)),"")</f>
        <v/>
      </c>
      <c r="E32" s="34" t="str">
        <f>IFERROR(INDEX(tblProjects[Status],ROWS($C$8:$C32)),"")</f>
        <v/>
      </c>
      <c r="F32" s="35" t="str">
        <f>IFERROR(INDEX(tblProjects[Start Date],ROWS($C$8:$C32)),"")</f>
        <v/>
      </c>
      <c r="G32" s="35" t="str">
        <f>IFERROR(INDEX(tblProjects[Due Date],ROWS($C$8:$C32)),"")</f>
        <v/>
      </c>
      <c r="H32" s="36" t="str">
        <f>IFERROR(INDEX(tblProjects[Progress],ROWS($C$8:$C32)),"")</f>
        <v/>
      </c>
      <c r="I32" s="34" t="b">
        <f>IFERROR(AND($C32&lt;&gt;"",OR($D$3="",ISNUMBER(SEARCH($D$3,$C32&amp;"|"&amp;$D32&amp;"|"&amp;INDEX(tblProjects[Developer],ROWS($C$8:$C32))&amp;"|"&amp;INDEX(tblProjects[LOB],ROWS($C$8:$C32))))),OR($G$3="All",$G$3=$E32)),FALSE)</f>
        <v>0</v>
      </c>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row>
    <row r="33" spans="3:100" x14ac:dyDescent="0.2">
      <c r="C33" s="34" t="str">
        <f>IFERROR(INDEX(tblProjects[Project Name],ROWS($C$8:$C33)),"")</f>
        <v/>
      </c>
      <c r="D33" s="34" t="str">
        <f>IFERROR(INDEX(tblProjects[POC],ROWS($C$8:$C33)),"")</f>
        <v/>
      </c>
      <c r="E33" s="34" t="str">
        <f>IFERROR(INDEX(tblProjects[Status],ROWS($C$8:$C33)),"")</f>
        <v/>
      </c>
      <c r="F33" s="35" t="str">
        <f>IFERROR(INDEX(tblProjects[Start Date],ROWS($C$8:$C33)),"")</f>
        <v/>
      </c>
      <c r="G33" s="35" t="str">
        <f>IFERROR(INDEX(tblProjects[Due Date],ROWS($C$8:$C33)),"")</f>
        <v/>
      </c>
      <c r="H33" s="36" t="str">
        <f>IFERROR(INDEX(tblProjects[Progress],ROWS($C$8:$C33)),"")</f>
        <v/>
      </c>
      <c r="I33" s="34" t="b">
        <f>IFERROR(AND($C33&lt;&gt;"",OR($D$3="",ISNUMBER(SEARCH($D$3,$C33&amp;"|"&amp;$D33&amp;"|"&amp;INDEX(tblProjects[Developer],ROWS($C$8:$C33))&amp;"|"&amp;INDEX(tblProjects[LOB],ROWS($C$8:$C33))))),OR($G$3="All",$G$3=$E33)),FALSE)</f>
        <v>0</v>
      </c>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row>
    <row r="34" spans="3:100" x14ac:dyDescent="0.2">
      <c r="C34" s="34" t="str">
        <f>IFERROR(INDEX(tblProjects[Project Name],ROWS($C$8:$C34)),"")</f>
        <v/>
      </c>
      <c r="D34" s="34" t="str">
        <f>IFERROR(INDEX(tblProjects[POC],ROWS($C$8:$C34)),"")</f>
        <v/>
      </c>
      <c r="E34" s="34" t="str">
        <f>IFERROR(INDEX(tblProjects[Status],ROWS($C$8:$C34)),"")</f>
        <v/>
      </c>
      <c r="F34" s="35" t="str">
        <f>IFERROR(INDEX(tblProjects[Start Date],ROWS($C$8:$C34)),"")</f>
        <v/>
      </c>
      <c r="G34" s="35" t="str">
        <f>IFERROR(INDEX(tblProjects[Due Date],ROWS($C$8:$C34)),"")</f>
        <v/>
      </c>
      <c r="H34" s="36" t="str">
        <f>IFERROR(INDEX(tblProjects[Progress],ROWS($C$8:$C34)),"")</f>
        <v/>
      </c>
      <c r="I34" s="34" t="b">
        <f>IFERROR(AND($C34&lt;&gt;"",OR($D$3="",ISNUMBER(SEARCH($D$3,$C34&amp;"|"&amp;$D34&amp;"|"&amp;INDEX(tblProjects[Developer],ROWS($C$8:$C34))&amp;"|"&amp;INDEX(tblProjects[LOB],ROWS($C$8:$C34))))),OR($G$3="All",$G$3=$E34)),FALSE)</f>
        <v>0</v>
      </c>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row>
    <row r="35" spans="3:100" x14ac:dyDescent="0.2">
      <c r="C35" s="34" t="str">
        <f>IFERROR(INDEX(tblProjects[Project Name],ROWS($C$8:$C35)),"")</f>
        <v/>
      </c>
      <c r="D35" s="34" t="str">
        <f>IFERROR(INDEX(tblProjects[POC],ROWS($C$8:$C35)),"")</f>
        <v/>
      </c>
      <c r="E35" s="34" t="str">
        <f>IFERROR(INDEX(tblProjects[Status],ROWS($C$8:$C35)),"")</f>
        <v/>
      </c>
      <c r="F35" s="35" t="str">
        <f>IFERROR(INDEX(tblProjects[Start Date],ROWS($C$8:$C35)),"")</f>
        <v/>
      </c>
      <c r="G35" s="35" t="str">
        <f>IFERROR(INDEX(tblProjects[Due Date],ROWS($C$8:$C35)),"")</f>
        <v/>
      </c>
      <c r="H35" s="36" t="str">
        <f>IFERROR(INDEX(tblProjects[Progress],ROWS($C$8:$C35)),"")</f>
        <v/>
      </c>
      <c r="I35" s="34" t="b">
        <f>IFERROR(AND($C35&lt;&gt;"",OR($D$3="",ISNUMBER(SEARCH($D$3,$C35&amp;"|"&amp;$D35&amp;"|"&amp;INDEX(tblProjects[Developer],ROWS($C$8:$C35))&amp;"|"&amp;INDEX(tblProjects[LOB],ROWS($C$8:$C35))))),OR($G$3="All",$G$3=$E35)),FALSE)</f>
        <v>0</v>
      </c>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c r="CK35" s="34"/>
      <c r="CL35" s="34"/>
      <c r="CM35" s="34"/>
      <c r="CN35" s="34"/>
      <c r="CO35" s="34"/>
      <c r="CP35" s="34"/>
      <c r="CQ35" s="34"/>
      <c r="CR35" s="34"/>
      <c r="CS35" s="34"/>
      <c r="CT35" s="34"/>
      <c r="CU35" s="34"/>
      <c r="CV35" s="34"/>
    </row>
    <row r="36" spans="3:100" x14ac:dyDescent="0.2">
      <c r="C36" s="34" t="str">
        <f>IFERROR(INDEX(tblProjects[Project Name],ROWS($C$8:$C36)),"")</f>
        <v/>
      </c>
      <c r="D36" s="34" t="str">
        <f>IFERROR(INDEX(tblProjects[POC],ROWS($C$8:$C36)),"")</f>
        <v/>
      </c>
      <c r="E36" s="34" t="str">
        <f>IFERROR(INDEX(tblProjects[Status],ROWS($C$8:$C36)),"")</f>
        <v/>
      </c>
      <c r="F36" s="35" t="str">
        <f>IFERROR(INDEX(tblProjects[Start Date],ROWS($C$8:$C36)),"")</f>
        <v/>
      </c>
      <c r="G36" s="35" t="str">
        <f>IFERROR(INDEX(tblProjects[Due Date],ROWS($C$8:$C36)),"")</f>
        <v/>
      </c>
      <c r="H36" s="36" t="str">
        <f>IFERROR(INDEX(tblProjects[Progress],ROWS($C$8:$C36)),"")</f>
        <v/>
      </c>
      <c r="I36" s="34" t="b">
        <f>IFERROR(AND($C36&lt;&gt;"",OR($D$3="",ISNUMBER(SEARCH($D$3,$C36&amp;"|"&amp;$D36&amp;"|"&amp;INDEX(tblProjects[Developer],ROWS($C$8:$C36))&amp;"|"&amp;INDEX(tblProjects[LOB],ROWS($C$8:$C36))))),OR($G$3="All",$G$3=$E36)),FALSE)</f>
        <v>0</v>
      </c>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row>
    <row r="37" spans="3:100" x14ac:dyDescent="0.2">
      <c r="C37" s="34" t="str">
        <f>IFERROR(INDEX(tblProjects[Project Name],ROWS($C$8:$C37)),"")</f>
        <v/>
      </c>
      <c r="D37" s="34" t="str">
        <f>IFERROR(INDEX(tblProjects[POC],ROWS($C$8:$C37)),"")</f>
        <v/>
      </c>
      <c r="E37" s="34" t="str">
        <f>IFERROR(INDEX(tblProjects[Status],ROWS($C$8:$C37)),"")</f>
        <v/>
      </c>
      <c r="F37" s="35" t="str">
        <f>IFERROR(INDEX(tblProjects[Start Date],ROWS($C$8:$C37)),"")</f>
        <v/>
      </c>
      <c r="G37" s="35" t="str">
        <f>IFERROR(INDEX(tblProjects[Due Date],ROWS($C$8:$C37)),"")</f>
        <v/>
      </c>
      <c r="H37" s="36" t="str">
        <f>IFERROR(INDEX(tblProjects[Progress],ROWS($C$8:$C37)),"")</f>
        <v/>
      </c>
      <c r="I37" s="34" t="b">
        <f>IFERROR(AND($C37&lt;&gt;"",OR($D$3="",ISNUMBER(SEARCH($D$3,$C37&amp;"|"&amp;$D37&amp;"|"&amp;INDEX(tblProjects[Developer],ROWS($C$8:$C37))&amp;"|"&amp;INDEX(tblProjects[LOB],ROWS($C$8:$C37))))),OR($G$3="All",$G$3=$E37)),FALSE)</f>
        <v>0</v>
      </c>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row>
    <row r="38" spans="3:100" x14ac:dyDescent="0.2">
      <c r="C38" s="34" t="str">
        <f>IFERROR(INDEX(tblProjects[Project Name],ROWS($C$8:$C38)),"")</f>
        <v/>
      </c>
      <c r="D38" s="34" t="str">
        <f>IFERROR(INDEX(tblProjects[POC],ROWS($C$8:$C38)),"")</f>
        <v/>
      </c>
      <c r="E38" s="34" t="str">
        <f>IFERROR(INDEX(tblProjects[Status],ROWS($C$8:$C38)),"")</f>
        <v/>
      </c>
      <c r="F38" s="35" t="str">
        <f>IFERROR(INDEX(tblProjects[Start Date],ROWS($C$8:$C38)),"")</f>
        <v/>
      </c>
      <c r="G38" s="35" t="str">
        <f>IFERROR(INDEX(tblProjects[Due Date],ROWS($C$8:$C38)),"")</f>
        <v/>
      </c>
      <c r="H38" s="36" t="str">
        <f>IFERROR(INDEX(tblProjects[Progress],ROWS($C$8:$C38)),"")</f>
        <v/>
      </c>
      <c r="I38" s="34" t="b">
        <f>IFERROR(AND($C38&lt;&gt;"",OR($D$3="",ISNUMBER(SEARCH($D$3,$C38&amp;"|"&amp;$D38&amp;"|"&amp;INDEX(tblProjects[Developer],ROWS($C$8:$C38))&amp;"|"&amp;INDEX(tblProjects[LOB],ROWS($C$8:$C38))))),OR($G$3="All",$G$3=$E38)),FALSE)</f>
        <v>0</v>
      </c>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row>
    <row r="39" spans="3:100" x14ac:dyDescent="0.2">
      <c r="C39" s="34" t="str">
        <f>IFERROR(INDEX(tblProjects[Project Name],ROWS($C$8:$C39)),"")</f>
        <v/>
      </c>
      <c r="D39" s="34" t="str">
        <f>IFERROR(INDEX(tblProjects[POC],ROWS($C$8:$C39)),"")</f>
        <v/>
      </c>
      <c r="E39" s="34" t="str">
        <f>IFERROR(INDEX(tblProjects[Status],ROWS($C$8:$C39)),"")</f>
        <v/>
      </c>
      <c r="F39" s="35" t="str">
        <f>IFERROR(INDEX(tblProjects[Start Date],ROWS($C$8:$C39)),"")</f>
        <v/>
      </c>
      <c r="G39" s="35" t="str">
        <f>IFERROR(INDEX(tblProjects[Due Date],ROWS($C$8:$C39)),"")</f>
        <v/>
      </c>
      <c r="H39" s="36" t="str">
        <f>IFERROR(INDEX(tblProjects[Progress],ROWS($C$8:$C39)),"")</f>
        <v/>
      </c>
      <c r="I39" s="34" t="b">
        <f>IFERROR(AND($C39&lt;&gt;"",OR($D$3="",ISNUMBER(SEARCH($D$3,$C39&amp;"|"&amp;$D39&amp;"|"&amp;INDEX(tblProjects[Developer],ROWS($C$8:$C39))&amp;"|"&amp;INDEX(tblProjects[LOB],ROWS($C$8:$C39))))),OR($G$3="All",$G$3=$E39)),FALSE)</f>
        <v>0</v>
      </c>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4"/>
      <c r="CT39" s="34"/>
      <c r="CU39" s="34"/>
      <c r="CV39" s="34"/>
    </row>
    <row r="40" spans="3:100" x14ac:dyDescent="0.2">
      <c r="C40" s="34" t="str">
        <f>IFERROR(INDEX(tblProjects[Project Name],ROWS($C$8:$C40)),"")</f>
        <v/>
      </c>
      <c r="D40" s="34" t="str">
        <f>IFERROR(INDEX(tblProjects[POC],ROWS($C$8:$C40)),"")</f>
        <v/>
      </c>
      <c r="E40" s="34" t="str">
        <f>IFERROR(INDEX(tblProjects[Status],ROWS($C$8:$C40)),"")</f>
        <v/>
      </c>
      <c r="F40" s="35" t="str">
        <f>IFERROR(INDEX(tblProjects[Start Date],ROWS($C$8:$C40)),"")</f>
        <v/>
      </c>
      <c r="G40" s="35" t="str">
        <f>IFERROR(INDEX(tblProjects[Due Date],ROWS($C$8:$C40)),"")</f>
        <v/>
      </c>
      <c r="H40" s="36" t="str">
        <f>IFERROR(INDEX(tblProjects[Progress],ROWS($C$8:$C40)),"")</f>
        <v/>
      </c>
      <c r="I40" s="34" t="b">
        <f>IFERROR(AND($C40&lt;&gt;"",OR($D$3="",ISNUMBER(SEARCH($D$3,$C40&amp;"|"&amp;$D40&amp;"|"&amp;INDEX(tblProjects[Developer],ROWS($C$8:$C40))&amp;"|"&amp;INDEX(tblProjects[LOB],ROWS($C$8:$C40))))),OR($G$3="All",$G$3=$E40)),FALSE)</f>
        <v>0</v>
      </c>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row>
    <row r="41" spans="3:100" x14ac:dyDescent="0.2">
      <c r="C41" s="34" t="str">
        <f>IFERROR(INDEX(tblProjects[Project Name],ROWS($C$8:$C41)),"")</f>
        <v/>
      </c>
      <c r="D41" s="34" t="str">
        <f>IFERROR(INDEX(tblProjects[POC],ROWS($C$8:$C41)),"")</f>
        <v/>
      </c>
      <c r="E41" s="34" t="str">
        <f>IFERROR(INDEX(tblProjects[Status],ROWS($C$8:$C41)),"")</f>
        <v/>
      </c>
      <c r="F41" s="35" t="str">
        <f>IFERROR(INDEX(tblProjects[Start Date],ROWS($C$8:$C41)),"")</f>
        <v/>
      </c>
      <c r="G41" s="35" t="str">
        <f>IFERROR(INDEX(tblProjects[Due Date],ROWS($C$8:$C41)),"")</f>
        <v/>
      </c>
      <c r="H41" s="36" t="str">
        <f>IFERROR(INDEX(tblProjects[Progress],ROWS($C$8:$C41)),"")</f>
        <v/>
      </c>
      <c r="I41" s="34" t="b">
        <f>IFERROR(AND($C41&lt;&gt;"",OR($D$3="",ISNUMBER(SEARCH($D$3,$C41&amp;"|"&amp;$D41&amp;"|"&amp;INDEX(tblProjects[Developer],ROWS($C$8:$C41))&amp;"|"&amp;INDEX(tblProjects[LOB],ROWS($C$8:$C41))))),OR($G$3="All",$G$3=$E41)),FALSE)</f>
        <v>0</v>
      </c>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c r="CK41" s="34"/>
      <c r="CL41" s="34"/>
      <c r="CM41" s="34"/>
      <c r="CN41" s="34"/>
      <c r="CO41" s="34"/>
      <c r="CP41" s="34"/>
      <c r="CQ41" s="34"/>
      <c r="CR41" s="34"/>
      <c r="CS41" s="34"/>
      <c r="CT41" s="34"/>
      <c r="CU41" s="34"/>
      <c r="CV41" s="34"/>
    </row>
    <row r="42" spans="3:100" x14ac:dyDescent="0.2">
      <c r="C42" s="34" t="str">
        <f>IFERROR(INDEX(tblProjects[Project Name],ROWS($C$8:$C42)),"")</f>
        <v/>
      </c>
      <c r="D42" s="34" t="str">
        <f>IFERROR(INDEX(tblProjects[POC],ROWS($C$8:$C42)),"")</f>
        <v/>
      </c>
      <c r="E42" s="34" t="str">
        <f>IFERROR(INDEX(tblProjects[Status],ROWS($C$8:$C42)),"")</f>
        <v/>
      </c>
      <c r="F42" s="35" t="str">
        <f>IFERROR(INDEX(tblProjects[Start Date],ROWS($C$8:$C42)),"")</f>
        <v/>
      </c>
      <c r="G42" s="35" t="str">
        <f>IFERROR(INDEX(tblProjects[Due Date],ROWS($C$8:$C42)),"")</f>
        <v/>
      </c>
      <c r="H42" s="36" t="str">
        <f>IFERROR(INDEX(tblProjects[Progress],ROWS($C$8:$C42)),"")</f>
        <v/>
      </c>
      <c r="I42" s="34" t="b">
        <f>IFERROR(AND($C42&lt;&gt;"",OR($D$3="",ISNUMBER(SEARCH($D$3,$C42&amp;"|"&amp;$D42&amp;"|"&amp;INDEX(tblProjects[Developer],ROWS($C$8:$C42))&amp;"|"&amp;INDEX(tblProjects[LOB],ROWS($C$8:$C42))))),OR($G$3="All",$G$3=$E42)),FALSE)</f>
        <v>0</v>
      </c>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row>
    <row r="43" spans="3:100" x14ac:dyDescent="0.2">
      <c r="C43" s="34" t="str">
        <f>IFERROR(INDEX(tblProjects[Project Name],ROWS($C$8:$C43)),"")</f>
        <v/>
      </c>
      <c r="D43" s="34" t="str">
        <f>IFERROR(INDEX(tblProjects[POC],ROWS($C$8:$C43)),"")</f>
        <v/>
      </c>
      <c r="E43" s="34" t="str">
        <f>IFERROR(INDEX(tblProjects[Status],ROWS($C$8:$C43)),"")</f>
        <v/>
      </c>
      <c r="F43" s="35" t="str">
        <f>IFERROR(INDEX(tblProjects[Start Date],ROWS($C$8:$C43)),"")</f>
        <v/>
      </c>
      <c r="G43" s="35" t="str">
        <f>IFERROR(INDEX(tblProjects[Due Date],ROWS($C$8:$C43)),"")</f>
        <v/>
      </c>
      <c r="H43" s="36" t="str">
        <f>IFERROR(INDEX(tblProjects[Progress],ROWS($C$8:$C43)),"")</f>
        <v/>
      </c>
      <c r="I43" s="34" t="b">
        <f>IFERROR(AND($C43&lt;&gt;"",OR($D$3="",ISNUMBER(SEARCH($D$3,$C43&amp;"|"&amp;$D43&amp;"|"&amp;INDEX(tblProjects[Developer],ROWS($C$8:$C43))&amp;"|"&amp;INDEX(tblProjects[LOB],ROWS($C$8:$C43))))),OR($G$3="All",$G$3=$E43)),FALSE)</f>
        <v>0</v>
      </c>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row>
    <row r="44" spans="3:100" x14ac:dyDescent="0.2">
      <c r="C44" s="34" t="str">
        <f>IFERROR(INDEX(tblProjects[Project Name],ROWS($C$8:$C44)),"")</f>
        <v/>
      </c>
      <c r="D44" s="34" t="str">
        <f>IFERROR(INDEX(tblProjects[POC],ROWS($C$8:$C44)),"")</f>
        <v/>
      </c>
      <c r="E44" s="34" t="str">
        <f>IFERROR(INDEX(tblProjects[Status],ROWS($C$8:$C44)),"")</f>
        <v/>
      </c>
      <c r="F44" s="35" t="str">
        <f>IFERROR(INDEX(tblProjects[Start Date],ROWS($C$8:$C44)),"")</f>
        <v/>
      </c>
      <c r="G44" s="35" t="str">
        <f>IFERROR(INDEX(tblProjects[Due Date],ROWS($C$8:$C44)),"")</f>
        <v/>
      </c>
      <c r="H44" s="36" t="str">
        <f>IFERROR(INDEX(tblProjects[Progress],ROWS($C$8:$C44)),"")</f>
        <v/>
      </c>
      <c r="I44" s="34" t="b">
        <f>IFERROR(AND($C44&lt;&gt;"",OR($D$3="",ISNUMBER(SEARCH($D$3,$C44&amp;"|"&amp;$D44&amp;"|"&amp;INDEX(tblProjects[Developer],ROWS($C$8:$C44))&amp;"|"&amp;INDEX(tblProjects[LOB],ROWS($C$8:$C44))))),OR($G$3="All",$G$3=$E44)),FALSE)</f>
        <v>0</v>
      </c>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row>
    <row r="45" spans="3:100" x14ac:dyDescent="0.2">
      <c r="C45" s="34" t="str">
        <f>IFERROR(INDEX(tblProjects[Project Name],ROWS($C$8:$C45)),"")</f>
        <v/>
      </c>
      <c r="D45" s="34" t="str">
        <f>IFERROR(INDEX(tblProjects[POC],ROWS($C$8:$C45)),"")</f>
        <v/>
      </c>
      <c r="E45" s="34" t="str">
        <f>IFERROR(INDEX(tblProjects[Status],ROWS($C$8:$C45)),"")</f>
        <v/>
      </c>
      <c r="F45" s="35" t="str">
        <f>IFERROR(INDEX(tblProjects[Start Date],ROWS($C$8:$C45)),"")</f>
        <v/>
      </c>
      <c r="G45" s="35" t="str">
        <f>IFERROR(INDEX(tblProjects[Due Date],ROWS($C$8:$C45)),"")</f>
        <v/>
      </c>
      <c r="H45" s="36" t="str">
        <f>IFERROR(INDEX(tblProjects[Progress],ROWS($C$8:$C45)),"")</f>
        <v/>
      </c>
      <c r="I45" s="34" t="b">
        <f>IFERROR(AND($C45&lt;&gt;"",OR($D$3="",ISNUMBER(SEARCH($D$3,$C45&amp;"|"&amp;$D45&amp;"|"&amp;INDEX(tblProjects[Developer],ROWS($C$8:$C45))&amp;"|"&amp;INDEX(tblProjects[LOB],ROWS($C$8:$C45))))),OR($G$3="All",$G$3=$E45)),FALSE)</f>
        <v>0</v>
      </c>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row>
    <row r="46" spans="3:100" x14ac:dyDescent="0.2">
      <c r="C46" s="34" t="str">
        <f>IFERROR(INDEX(tblProjects[Project Name],ROWS($C$8:$C46)),"")</f>
        <v/>
      </c>
      <c r="D46" s="34" t="str">
        <f>IFERROR(INDEX(tblProjects[POC],ROWS($C$8:$C46)),"")</f>
        <v/>
      </c>
      <c r="E46" s="34" t="str">
        <f>IFERROR(INDEX(tblProjects[Status],ROWS($C$8:$C46)),"")</f>
        <v/>
      </c>
      <c r="F46" s="35" t="str">
        <f>IFERROR(INDEX(tblProjects[Start Date],ROWS($C$8:$C46)),"")</f>
        <v/>
      </c>
      <c r="G46" s="35" t="str">
        <f>IFERROR(INDEX(tblProjects[Due Date],ROWS($C$8:$C46)),"")</f>
        <v/>
      </c>
      <c r="H46" s="36" t="str">
        <f>IFERROR(INDEX(tblProjects[Progress],ROWS($C$8:$C46)),"")</f>
        <v/>
      </c>
      <c r="I46" s="34" t="b">
        <f>IFERROR(AND($C46&lt;&gt;"",OR($D$3="",ISNUMBER(SEARCH($D$3,$C46&amp;"|"&amp;$D46&amp;"|"&amp;INDEX(tblProjects[Developer],ROWS($C$8:$C46))&amp;"|"&amp;INDEX(tblProjects[LOB],ROWS($C$8:$C46))))),OR($G$3="All",$G$3=$E46)),FALSE)</f>
        <v>0</v>
      </c>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row>
    <row r="47" spans="3:100" x14ac:dyDescent="0.2">
      <c r="C47" s="34" t="str">
        <f>IFERROR(INDEX(tblProjects[Project Name],ROWS($C$8:$C47)),"")</f>
        <v/>
      </c>
      <c r="D47" s="34" t="str">
        <f>IFERROR(INDEX(tblProjects[POC],ROWS($C$8:$C47)),"")</f>
        <v/>
      </c>
      <c r="E47" s="34" t="str">
        <f>IFERROR(INDEX(tblProjects[Status],ROWS($C$8:$C47)),"")</f>
        <v/>
      </c>
      <c r="F47" s="35" t="str">
        <f>IFERROR(INDEX(tblProjects[Start Date],ROWS($C$8:$C47)),"")</f>
        <v/>
      </c>
      <c r="G47" s="35" t="str">
        <f>IFERROR(INDEX(tblProjects[Due Date],ROWS($C$8:$C47)),"")</f>
        <v/>
      </c>
      <c r="H47" s="36" t="str">
        <f>IFERROR(INDEX(tblProjects[Progress],ROWS($C$8:$C47)),"")</f>
        <v/>
      </c>
      <c r="I47" s="34" t="b">
        <f>IFERROR(AND($C47&lt;&gt;"",OR($D$3="",ISNUMBER(SEARCH($D$3,$C47&amp;"|"&amp;$D47&amp;"|"&amp;INDEX(tblProjects[Developer],ROWS($C$8:$C47))&amp;"|"&amp;INDEX(tblProjects[LOB],ROWS($C$8:$C47))))),OR($G$3="All",$G$3=$E47)),FALSE)</f>
        <v>0</v>
      </c>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c r="CK47" s="34"/>
      <c r="CL47" s="34"/>
      <c r="CM47" s="34"/>
      <c r="CN47" s="34"/>
      <c r="CO47" s="34"/>
      <c r="CP47" s="34"/>
      <c r="CQ47" s="34"/>
      <c r="CR47" s="34"/>
      <c r="CS47" s="34"/>
      <c r="CT47" s="34"/>
      <c r="CU47" s="34"/>
      <c r="CV47" s="34"/>
    </row>
    <row r="48" spans="3:100" x14ac:dyDescent="0.2">
      <c r="C48" s="34" t="str">
        <f>IFERROR(INDEX(tblProjects[Project Name],ROWS($C$8:$C48)),"")</f>
        <v/>
      </c>
      <c r="D48" s="34" t="str">
        <f>IFERROR(INDEX(tblProjects[POC],ROWS($C$8:$C48)),"")</f>
        <v/>
      </c>
      <c r="E48" s="34" t="str">
        <f>IFERROR(INDEX(tblProjects[Status],ROWS($C$8:$C48)),"")</f>
        <v/>
      </c>
      <c r="F48" s="35" t="str">
        <f>IFERROR(INDEX(tblProjects[Start Date],ROWS($C$8:$C48)),"")</f>
        <v/>
      </c>
      <c r="G48" s="35" t="str">
        <f>IFERROR(INDEX(tblProjects[Due Date],ROWS($C$8:$C48)),"")</f>
        <v/>
      </c>
      <c r="H48" s="36" t="str">
        <f>IFERROR(INDEX(tblProjects[Progress],ROWS($C$8:$C48)),"")</f>
        <v/>
      </c>
      <c r="I48" s="34" t="b">
        <f>IFERROR(AND($C48&lt;&gt;"",OR($D$3="",ISNUMBER(SEARCH($D$3,$C48&amp;"|"&amp;$D48&amp;"|"&amp;INDEX(tblProjects[Developer],ROWS($C$8:$C48))&amp;"|"&amp;INDEX(tblProjects[LOB],ROWS($C$8:$C48))))),OR($G$3="All",$G$3=$E48)),FALSE)</f>
        <v>0</v>
      </c>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row>
    <row r="49" spans="3:100" x14ac:dyDescent="0.2">
      <c r="C49" s="34" t="str">
        <f>IFERROR(INDEX(tblProjects[Project Name],ROWS($C$8:$C49)),"")</f>
        <v/>
      </c>
      <c r="D49" s="34" t="str">
        <f>IFERROR(INDEX(tblProjects[POC],ROWS($C$8:$C49)),"")</f>
        <v/>
      </c>
      <c r="E49" s="34" t="str">
        <f>IFERROR(INDEX(tblProjects[Status],ROWS($C$8:$C49)),"")</f>
        <v/>
      </c>
      <c r="F49" s="35" t="str">
        <f>IFERROR(INDEX(tblProjects[Start Date],ROWS($C$8:$C49)),"")</f>
        <v/>
      </c>
      <c r="G49" s="35" t="str">
        <f>IFERROR(INDEX(tblProjects[Due Date],ROWS($C$8:$C49)),"")</f>
        <v/>
      </c>
      <c r="H49" s="36" t="str">
        <f>IFERROR(INDEX(tblProjects[Progress],ROWS($C$8:$C49)),"")</f>
        <v/>
      </c>
      <c r="I49" s="34" t="b">
        <f>IFERROR(AND($C49&lt;&gt;"",OR($D$3="",ISNUMBER(SEARCH($D$3,$C49&amp;"|"&amp;$D49&amp;"|"&amp;INDEX(tblProjects[Developer],ROWS($C$8:$C49))&amp;"|"&amp;INDEX(tblProjects[LOB],ROWS($C$8:$C49))))),OR($G$3="All",$G$3=$E49)),FALSE)</f>
        <v>0</v>
      </c>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row>
    <row r="50" spans="3:100" x14ac:dyDescent="0.2">
      <c r="C50" s="34" t="str">
        <f>IFERROR(INDEX(tblProjects[Project Name],ROWS($C$8:$C50)),"")</f>
        <v/>
      </c>
      <c r="D50" s="34" t="str">
        <f>IFERROR(INDEX(tblProjects[POC],ROWS($C$8:$C50)),"")</f>
        <v/>
      </c>
      <c r="E50" s="34" t="str">
        <f>IFERROR(INDEX(tblProjects[Status],ROWS($C$8:$C50)),"")</f>
        <v/>
      </c>
      <c r="F50" s="35" t="str">
        <f>IFERROR(INDEX(tblProjects[Start Date],ROWS($C$8:$C50)),"")</f>
        <v/>
      </c>
      <c r="G50" s="35" t="str">
        <f>IFERROR(INDEX(tblProjects[Due Date],ROWS($C$8:$C50)),"")</f>
        <v/>
      </c>
      <c r="H50" s="36" t="str">
        <f>IFERROR(INDEX(tblProjects[Progress],ROWS($C$8:$C50)),"")</f>
        <v/>
      </c>
      <c r="I50" s="34" t="b">
        <f>IFERROR(AND($C50&lt;&gt;"",OR($D$3="",ISNUMBER(SEARCH($D$3,$C50&amp;"|"&amp;$D50&amp;"|"&amp;INDEX(tblProjects[Developer],ROWS($C$8:$C50))&amp;"|"&amp;INDEX(tblProjects[LOB],ROWS($C$8:$C50))))),OR($G$3="All",$G$3=$E50)),FALSE)</f>
        <v>0</v>
      </c>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row>
    <row r="51" spans="3:100" x14ac:dyDescent="0.2">
      <c r="C51" s="34" t="str">
        <f>IFERROR(INDEX(tblProjects[Project Name],ROWS($C$8:$C51)),"")</f>
        <v/>
      </c>
      <c r="D51" s="34" t="str">
        <f>IFERROR(INDEX(tblProjects[POC],ROWS($C$8:$C51)),"")</f>
        <v/>
      </c>
      <c r="E51" s="34" t="str">
        <f>IFERROR(INDEX(tblProjects[Status],ROWS($C$8:$C51)),"")</f>
        <v/>
      </c>
      <c r="F51" s="35" t="str">
        <f>IFERROR(INDEX(tblProjects[Start Date],ROWS($C$8:$C51)),"")</f>
        <v/>
      </c>
      <c r="G51" s="35" t="str">
        <f>IFERROR(INDEX(tblProjects[Due Date],ROWS($C$8:$C51)),"")</f>
        <v/>
      </c>
      <c r="H51" s="36" t="str">
        <f>IFERROR(INDEX(tblProjects[Progress],ROWS($C$8:$C51)),"")</f>
        <v/>
      </c>
      <c r="I51" s="34" t="b">
        <f>IFERROR(AND($C51&lt;&gt;"",OR($D$3="",ISNUMBER(SEARCH($D$3,$C51&amp;"|"&amp;$D51&amp;"|"&amp;INDEX(tblProjects[Developer],ROWS($C$8:$C51))&amp;"|"&amp;INDEX(tblProjects[LOB],ROWS($C$8:$C51))))),OR($G$3="All",$G$3=$E51)),FALSE)</f>
        <v>0</v>
      </c>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row>
    <row r="52" spans="3:100" x14ac:dyDescent="0.2">
      <c r="C52" s="34" t="str">
        <f>IFERROR(INDEX(tblProjects[Project Name],ROWS($C$8:$C52)),"")</f>
        <v/>
      </c>
      <c r="D52" s="34" t="str">
        <f>IFERROR(INDEX(tblProjects[POC],ROWS($C$8:$C52)),"")</f>
        <v/>
      </c>
      <c r="E52" s="34" t="str">
        <f>IFERROR(INDEX(tblProjects[Status],ROWS($C$8:$C52)),"")</f>
        <v/>
      </c>
      <c r="F52" s="35" t="str">
        <f>IFERROR(INDEX(tblProjects[Start Date],ROWS($C$8:$C52)),"")</f>
        <v/>
      </c>
      <c r="G52" s="35" t="str">
        <f>IFERROR(INDEX(tblProjects[Due Date],ROWS($C$8:$C52)),"")</f>
        <v/>
      </c>
      <c r="H52" s="36" t="str">
        <f>IFERROR(INDEX(tblProjects[Progress],ROWS($C$8:$C52)),"")</f>
        <v/>
      </c>
      <c r="I52" s="34" t="b">
        <f>IFERROR(AND($C52&lt;&gt;"",OR($D$3="",ISNUMBER(SEARCH($D$3,$C52&amp;"|"&amp;$D52&amp;"|"&amp;INDEX(tblProjects[Developer],ROWS($C$8:$C52))&amp;"|"&amp;INDEX(tblProjects[LOB],ROWS($C$8:$C52))))),OR($G$3="All",$G$3=$E52)),FALSE)</f>
        <v>0</v>
      </c>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row>
    <row r="53" spans="3:100" x14ac:dyDescent="0.2">
      <c r="C53" s="34" t="str">
        <f>IFERROR(INDEX(tblProjects[Project Name],ROWS($C$8:$C53)),"")</f>
        <v/>
      </c>
      <c r="D53" s="34" t="str">
        <f>IFERROR(INDEX(tblProjects[POC],ROWS($C$8:$C53)),"")</f>
        <v/>
      </c>
      <c r="E53" s="34" t="str">
        <f>IFERROR(INDEX(tblProjects[Status],ROWS($C$8:$C53)),"")</f>
        <v/>
      </c>
      <c r="F53" s="35" t="str">
        <f>IFERROR(INDEX(tblProjects[Start Date],ROWS($C$8:$C53)),"")</f>
        <v/>
      </c>
      <c r="G53" s="35" t="str">
        <f>IFERROR(INDEX(tblProjects[Due Date],ROWS($C$8:$C53)),"")</f>
        <v/>
      </c>
      <c r="H53" s="36" t="str">
        <f>IFERROR(INDEX(tblProjects[Progress],ROWS($C$8:$C53)),"")</f>
        <v/>
      </c>
      <c r="I53" s="34" t="b">
        <f>IFERROR(AND($C53&lt;&gt;"",OR($D$3="",ISNUMBER(SEARCH($D$3,$C53&amp;"|"&amp;$D53&amp;"|"&amp;INDEX(tblProjects[Developer],ROWS($C$8:$C53))&amp;"|"&amp;INDEX(tblProjects[LOB],ROWS($C$8:$C53))))),OR($G$3="All",$G$3=$E53)),FALSE)</f>
        <v>0</v>
      </c>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c r="CK53" s="34"/>
      <c r="CL53" s="34"/>
      <c r="CM53" s="34"/>
      <c r="CN53" s="34"/>
      <c r="CO53" s="34"/>
      <c r="CP53" s="34"/>
      <c r="CQ53" s="34"/>
      <c r="CR53" s="34"/>
      <c r="CS53" s="34"/>
      <c r="CT53" s="34"/>
      <c r="CU53" s="34"/>
      <c r="CV53" s="34"/>
    </row>
    <row r="54" spans="3:100" x14ac:dyDescent="0.2">
      <c r="C54" s="34" t="str">
        <f>IFERROR(INDEX(tblProjects[Project Name],ROWS($C$8:$C54)),"")</f>
        <v/>
      </c>
      <c r="D54" s="34" t="str">
        <f>IFERROR(INDEX(tblProjects[POC],ROWS($C$8:$C54)),"")</f>
        <v/>
      </c>
      <c r="E54" s="34" t="str">
        <f>IFERROR(INDEX(tblProjects[Status],ROWS($C$8:$C54)),"")</f>
        <v/>
      </c>
      <c r="F54" s="35" t="str">
        <f>IFERROR(INDEX(tblProjects[Start Date],ROWS($C$8:$C54)),"")</f>
        <v/>
      </c>
      <c r="G54" s="35" t="str">
        <f>IFERROR(INDEX(tblProjects[Due Date],ROWS($C$8:$C54)),"")</f>
        <v/>
      </c>
      <c r="H54" s="36" t="str">
        <f>IFERROR(INDEX(tblProjects[Progress],ROWS($C$8:$C54)),"")</f>
        <v/>
      </c>
      <c r="I54" s="34" t="b">
        <f>IFERROR(AND($C54&lt;&gt;"",OR($D$3="",ISNUMBER(SEARCH($D$3,$C54&amp;"|"&amp;$D54&amp;"|"&amp;INDEX(tblProjects[Developer],ROWS($C$8:$C54))&amp;"|"&amp;INDEX(tblProjects[LOB],ROWS($C$8:$C54))))),OR($G$3="All",$G$3=$E54)),FALSE)</f>
        <v>0</v>
      </c>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row>
    <row r="55" spans="3:100" x14ac:dyDescent="0.2">
      <c r="C55" s="34" t="str">
        <f>IFERROR(INDEX(tblProjects[Project Name],ROWS($C$8:$C55)),"")</f>
        <v/>
      </c>
      <c r="D55" s="34" t="str">
        <f>IFERROR(INDEX(tblProjects[POC],ROWS($C$8:$C55)),"")</f>
        <v/>
      </c>
      <c r="E55" s="34" t="str">
        <f>IFERROR(INDEX(tblProjects[Status],ROWS($C$8:$C55)),"")</f>
        <v/>
      </c>
      <c r="F55" s="35" t="str">
        <f>IFERROR(INDEX(tblProjects[Start Date],ROWS($C$8:$C55)),"")</f>
        <v/>
      </c>
      <c r="G55" s="35" t="str">
        <f>IFERROR(INDEX(tblProjects[Due Date],ROWS($C$8:$C55)),"")</f>
        <v/>
      </c>
      <c r="H55" s="36" t="str">
        <f>IFERROR(INDEX(tblProjects[Progress],ROWS($C$8:$C55)),"")</f>
        <v/>
      </c>
      <c r="I55" s="34" t="b">
        <f>IFERROR(AND($C55&lt;&gt;"",OR($D$3="",ISNUMBER(SEARCH($D$3,$C55&amp;"|"&amp;$D55&amp;"|"&amp;INDEX(tblProjects[Developer],ROWS($C$8:$C55))&amp;"|"&amp;INDEX(tblProjects[LOB],ROWS($C$8:$C55))))),OR($G$3="All",$G$3=$E55)),FALSE)</f>
        <v>0</v>
      </c>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row>
    <row r="56" spans="3:100" x14ac:dyDescent="0.2">
      <c r="C56" s="34" t="str">
        <f>IFERROR(INDEX(tblProjects[Project Name],ROWS($C$8:$C56)),"")</f>
        <v/>
      </c>
      <c r="D56" s="34" t="str">
        <f>IFERROR(INDEX(tblProjects[POC],ROWS($C$8:$C56)),"")</f>
        <v/>
      </c>
      <c r="E56" s="34" t="str">
        <f>IFERROR(INDEX(tblProjects[Status],ROWS($C$8:$C56)),"")</f>
        <v/>
      </c>
      <c r="F56" s="35" t="str">
        <f>IFERROR(INDEX(tblProjects[Start Date],ROWS($C$8:$C56)),"")</f>
        <v/>
      </c>
      <c r="G56" s="35" t="str">
        <f>IFERROR(INDEX(tblProjects[Due Date],ROWS($C$8:$C56)),"")</f>
        <v/>
      </c>
      <c r="H56" s="36" t="str">
        <f>IFERROR(INDEX(tblProjects[Progress],ROWS($C$8:$C56)),"")</f>
        <v/>
      </c>
      <c r="I56" s="34" t="b">
        <f>IFERROR(AND($C56&lt;&gt;"",OR($D$3="",ISNUMBER(SEARCH($D$3,$C56&amp;"|"&amp;$D56&amp;"|"&amp;INDEX(tblProjects[Developer],ROWS($C$8:$C56))&amp;"|"&amp;INDEX(tblProjects[LOB],ROWS($C$8:$C56))))),OR($G$3="All",$G$3=$E56)),FALSE)</f>
        <v>0</v>
      </c>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row>
    <row r="57" spans="3:100" x14ac:dyDescent="0.2">
      <c r="C57" s="34" t="str">
        <f>IFERROR(INDEX(tblProjects[Project Name],ROWS($C$8:$C57)),"")</f>
        <v/>
      </c>
      <c r="D57" s="34" t="str">
        <f>IFERROR(INDEX(tblProjects[POC],ROWS($C$8:$C57)),"")</f>
        <v/>
      </c>
      <c r="E57" s="34" t="str">
        <f>IFERROR(INDEX(tblProjects[Status],ROWS($C$8:$C57)),"")</f>
        <v/>
      </c>
      <c r="F57" s="35" t="str">
        <f>IFERROR(INDEX(tblProjects[Start Date],ROWS($C$8:$C57)),"")</f>
        <v/>
      </c>
      <c r="G57" s="35" t="str">
        <f>IFERROR(INDEX(tblProjects[Due Date],ROWS($C$8:$C57)),"")</f>
        <v/>
      </c>
      <c r="H57" s="36" t="str">
        <f>IFERROR(INDEX(tblProjects[Progress],ROWS($C$8:$C57)),"")</f>
        <v/>
      </c>
      <c r="I57" s="34" t="b">
        <f>IFERROR(AND($C57&lt;&gt;"",OR($D$3="",ISNUMBER(SEARCH($D$3,$C57&amp;"|"&amp;$D57&amp;"|"&amp;INDEX(tblProjects[Developer],ROWS($C$8:$C57))&amp;"|"&amp;INDEX(tblProjects[LOB],ROWS($C$8:$C57))))),OR($G$3="All",$G$3=$E57)),FALSE)</f>
        <v>0</v>
      </c>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row>
    <row r="58" spans="3:100" x14ac:dyDescent="0.2">
      <c r="C58" s="34" t="str">
        <f>IFERROR(INDEX(tblProjects[Project Name],ROWS($C$8:$C58)),"")</f>
        <v/>
      </c>
      <c r="D58" s="34" t="str">
        <f>IFERROR(INDEX(tblProjects[POC],ROWS($C$8:$C58)),"")</f>
        <v/>
      </c>
      <c r="E58" s="34" t="str">
        <f>IFERROR(INDEX(tblProjects[Status],ROWS($C$8:$C58)),"")</f>
        <v/>
      </c>
      <c r="F58" s="35" t="str">
        <f>IFERROR(INDEX(tblProjects[Start Date],ROWS($C$8:$C58)),"")</f>
        <v/>
      </c>
      <c r="G58" s="35" t="str">
        <f>IFERROR(INDEX(tblProjects[Due Date],ROWS($C$8:$C58)),"")</f>
        <v/>
      </c>
      <c r="H58" s="36" t="str">
        <f>IFERROR(INDEX(tblProjects[Progress],ROWS($C$8:$C58)),"")</f>
        <v/>
      </c>
      <c r="I58" s="34" t="b">
        <f>IFERROR(AND($C58&lt;&gt;"",OR($D$3="",ISNUMBER(SEARCH($D$3,$C58&amp;"|"&amp;$D58&amp;"|"&amp;INDEX(tblProjects[Developer],ROWS($C$8:$C58))&amp;"|"&amp;INDEX(tblProjects[LOB],ROWS($C$8:$C58))))),OR($G$3="All",$G$3=$E58)),FALSE)</f>
        <v>0</v>
      </c>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row>
    <row r="59" spans="3:100" x14ac:dyDescent="0.2">
      <c r="C59" s="34" t="str">
        <f>IFERROR(INDEX(tblProjects[Project Name],ROWS($C$8:$C59)),"")</f>
        <v/>
      </c>
      <c r="D59" s="34" t="str">
        <f>IFERROR(INDEX(tblProjects[POC],ROWS($C$8:$C59)),"")</f>
        <v/>
      </c>
      <c r="E59" s="34" t="str">
        <f>IFERROR(INDEX(tblProjects[Status],ROWS($C$8:$C59)),"")</f>
        <v/>
      </c>
      <c r="F59" s="35" t="str">
        <f>IFERROR(INDEX(tblProjects[Start Date],ROWS($C$8:$C59)),"")</f>
        <v/>
      </c>
      <c r="G59" s="35" t="str">
        <f>IFERROR(INDEX(tblProjects[Due Date],ROWS($C$8:$C59)),"")</f>
        <v/>
      </c>
      <c r="H59" s="36" t="str">
        <f>IFERROR(INDEX(tblProjects[Progress],ROWS($C$8:$C59)),"")</f>
        <v/>
      </c>
      <c r="I59" s="34" t="b">
        <f>IFERROR(AND($C59&lt;&gt;"",OR($D$3="",ISNUMBER(SEARCH($D$3,$C59&amp;"|"&amp;$D59&amp;"|"&amp;INDEX(tblProjects[Developer],ROWS($C$8:$C59))&amp;"|"&amp;INDEX(tblProjects[LOB],ROWS($C$8:$C59))))),OR($G$3="All",$G$3=$E59)),FALSE)</f>
        <v>0</v>
      </c>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row>
    <row r="60" spans="3:100" x14ac:dyDescent="0.2">
      <c r="C60" s="34" t="str">
        <f>IFERROR(INDEX(tblProjects[Project Name],ROWS($C$8:$C60)),"")</f>
        <v/>
      </c>
      <c r="D60" s="34" t="str">
        <f>IFERROR(INDEX(tblProjects[POC],ROWS($C$8:$C60)),"")</f>
        <v/>
      </c>
      <c r="E60" s="34" t="str">
        <f>IFERROR(INDEX(tblProjects[Status],ROWS($C$8:$C60)),"")</f>
        <v/>
      </c>
      <c r="F60" s="35" t="str">
        <f>IFERROR(INDEX(tblProjects[Start Date],ROWS($C$8:$C60)),"")</f>
        <v/>
      </c>
      <c r="G60" s="35" t="str">
        <f>IFERROR(INDEX(tblProjects[Due Date],ROWS($C$8:$C60)),"")</f>
        <v/>
      </c>
      <c r="H60" s="36" t="str">
        <f>IFERROR(INDEX(tblProjects[Progress],ROWS($C$8:$C60)),"")</f>
        <v/>
      </c>
      <c r="I60" s="34" t="b">
        <f>IFERROR(AND($C60&lt;&gt;"",OR($D$3="",ISNUMBER(SEARCH($D$3,$C60&amp;"|"&amp;$D60&amp;"|"&amp;INDEX(tblProjects[Developer],ROWS($C$8:$C60))&amp;"|"&amp;INDEX(tblProjects[LOB],ROWS($C$8:$C60))))),OR($G$3="All",$G$3=$E60)),FALSE)</f>
        <v>0</v>
      </c>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c r="CK60" s="34"/>
      <c r="CL60" s="34"/>
      <c r="CM60" s="34"/>
      <c r="CN60" s="34"/>
      <c r="CO60" s="34"/>
      <c r="CP60" s="34"/>
      <c r="CQ60" s="34"/>
      <c r="CR60" s="34"/>
      <c r="CS60" s="34"/>
      <c r="CT60" s="34"/>
      <c r="CU60" s="34"/>
      <c r="CV60" s="34"/>
    </row>
    <row r="61" spans="3:100" x14ac:dyDescent="0.2">
      <c r="C61" s="34" t="str">
        <f>IFERROR(INDEX(tblProjects[Project Name],ROWS($C$8:$C61)),"")</f>
        <v/>
      </c>
      <c r="D61" s="34" t="str">
        <f>IFERROR(INDEX(tblProjects[POC],ROWS($C$8:$C61)),"")</f>
        <v/>
      </c>
      <c r="E61" s="34" t="str">
        <f>IFERROR(INDEX(tblProjects[Status],ROWS($C$8:$C61)),"")</f>
        <v/>
      </c>
      <c r="F61" s="35" t="str">
        <f>IFERROR(INDEX(tblProjects[Start Date],ROWS($C$8:$C61)),"")</f>
        <v/>
      </c>
      <c r="G61" s="35" t="str">
        <f>IFERROR(INDEX(tblProjects[Due Date],ROWS($C$8:$C61)),"")</f>
        <v/>
      </c>
      <c r="H61" s="36" t="str">
        <f>IFERROR(INDEX(tblProjects[Progress],ROWS($C$8:$C61)),"")</f>
        <v/>
      </c>
      <c r="I61" s="34" t="b">
        <f>IFERROR(AND($C61&lt;&gt;"",OR($D$3="",ISNUMBER(SEARCH($D$3,$C61&amp;"|"&amp;$D61&amp;"|"&amp;INDEX(tblProjects[Developer],ROWS($C$8:$C61))&amp;"|"&amp;INDEX(tblProjects[LOB],ROWS($C$8:$C61))))),OR($G$3="All",$G$3=$E61)),FALSE)</f>
        <v>0</v>
      </c>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c r="CK61" s="34"/>
      <c r="CL61" s="34"/>
      <c r="CM61" s="34"/>
      <c r="CN61" s="34"/>
      <c r="CO61" s="34"/>
      <c r="CP61" s="34"/>
      <c r="CQ61" s="34"/>
      <c r="CR61" s="34"/>
      <c r="CS61" s="34"/>
      <c r="CT61" s="34"/>
      <c r="CU61" s="34"/>
      <c r="CV61" s="34"/>
    </row>
    <row r="62" spans="3:100" x14ac:dyDescent="0.2">
      <c r="C62" s="34" t="str">
        <f>IFERROR(INDEX(tblProjects[Project Name],ROWS($C$8:$C62)),"")</f>
        <v/>
      </c>
      <c r="D62" s="34" t="str">
        <f>IFERROR(INDEX(tblProjects[POC],ROWS($C$8:$C62)),"")</f>
        <v/>
      </c>
      <c r="E62" s="34" t="str">
        <f>IFERROR(INDEX(tblProjects[Status],ROWS($C$8:$C62)),"")</f>
        <v/>
      </c>
      <c r="F62" s="35" t="str">
        <f>IFERROR(INDEX(tblProjects[Start Date],ROWS($C$8:$C62)),"")</f>
        <v/>
      </c>
      <c r="G62" s="35" t="str">
        <f>IFERROR(INDEX(tblProjects[Due Date],ROWS($C$8:$C62)),"")</f>
        <v/>
      </c>
      <c r="H62" s="36" t="str">
        <f>IFERROR(INDEX(tblProjects[Progress],ROWS($C$8:$C62)),"")</f>
        <v/>
      </c>
      <c r="I62" s="34" t="b">
        <f>IFERROR(AND($C62&lt;&gt;"",OR($D$3="",ISNUMBER(SEARCH($D$3,$C62&amp;"|"&amp;$D62&amp;"|"&amp;INDEX(tblProjects[Developer],ROWS($C$8:$C62))&amp;"|"&amp;INDEX(tblProjects[LOB],ROWS($C$8:$C62))))),OR($G$3="All",$G$3=$E62)),FALSE)</f>
        <v>0</v>
      </c>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c r="CK62" s="34"/>
      <c r="CL62" s="34"/>
      <c r="CM62" s="34"/>
      <c r="CN62" s="34"/>
      <c r="CO62" s="34"/>
      <c r="CP62" s="34"/>
      <c r="CQ62" s="34"/>
      <c r="CR62" s="34"/>
      <c r="CS62" s="34"/>
      <c r="CT62" s="34"/>
      <c r="CU62" s="34"/>
      <c r="CV62" s="34"/>
    </row>
    <row r="63" spans="3:100" x14ac:dyDescent="0.2">
      <c r="C63" s="34" t="str">
        <f>IFERROR(INDEX(tblProjects[Project Name],ROWS($C$8:$C63)),"")</f>
        <v/>
      </c>
      <c r="D63" s="34" t="str">
        <f>IFERROR(INDEX(tblProjects[POC],ROWS($C$8:$C63)),"")</f>
        <v/>
      </c>
      <c r="E63" s="34" t="str">
        <f>IFERROR(INDEX(tblProjects[Status],ROWS($C$8:$C63)),"")</f>
        <v/>
      </c>
      <c r="F63" s="35" t="str">
        <f>IFERROR(INDEX(tblProjects[Start Date],ROWS($C$8:$C63)),"")</f>
        <v/>
      </c>
      <c r="G63" s="35" t="str">
        <f>IFERROR(INDEX(tblProjects[Due Date],ROWS($C$8:$C63)),"")</f>
        <v/>
      </c>
      <c r="H63" s="36" t="str">
        <f>IFERROR(INDEX(tblProjects[Progress],ROWS($C$8:$C63)),"")</f>
        <v/>
      </c>
      <c r="I63" s="34" t="b">
        <f>IFERROR(AND($C63&lt;&gt;"",OR($D$3="",ISNUMBER(SEARCH($D$3,$C63&amp;"|"&amp;$D63&amp;"|"&amp;INDEX(tblProjects[Developer],ROWS($C$8:$C63))&amp;"|"&amp;INDEX(tblProjects[LOB],ROWS($C$8:$C63))))),OR($G$3="All",$G$3=$E63)),FALSE)</f>
        <v>0</v>
      </c>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c r="CK63" s="34"/>
      <c r="CL63" s="34"/>
      <c r="CM63" s="34"/>
      <c r="CN63" s="34"/>
      <c r="CO63" s="34"/>
      <c r="CP63" s="34"/>
      <c r="CQ63" s="34"/>
      <c r="CR63" s="34"/>
      <c r="CS63" s="34"/>
      <c r="CT63" s="34"/>
      <c r="CU63" s="34"/>
      <c r="CV63" s="34"/>
    </row>
    <row r="64" spans="3:100" x14ac:dyDescent="0.2">
      <c r="C64" s="34" t="str">
        <f>IFERROR(INDEX(tblProjects[Project Name],ROWS($C$8:$C64)),"")</f>
        <v/>
      </c>
      <c r="D64" s="34" t="str">
        <f>IFERROR(INDEX(tblProjects[POC],ROWS($C$8:$C64)),"")</f>
        <v/>
      </c>
      <c r="E64" s="34" t="str">
        <f>IFERROR(INDEX(tblProjects[Status],ROWS($C$8:$C64)),"")</f>
        <v/>
      </c>
      <c r="F64" s="35" t="str">
        <f>IFERROR(INDEX(tblProjects[Start Date],ROWS($C$8:$C64)),"")</f>
        <v/>
      </c>
      <c r="G64" s="35" t="str">
        <f>IFERROR(INDEX(tblProjects[Due Date],ROWS($C$8:$C64)),"")</f>
        <v/>
      </c>
      <c r="H64" s="36" t="str">
        <f>IFERROR(INDEX(tblProjects[Progress],ROWS($C$8:$C64)),"")</f>
        <v/>
      </c>
      <c r="I64" s="34" t="b">
        <f>IFERROR(AND($C64&lt;&gt;"",OR($D$3="",ISNUMBER(SEARCH($D$3,$C64&amp;"|"&amp;$D64&amp;"|"&amp;INDEX(tblProjects[Developer],ROWS($C$8:$C64))&amp;"|"&amp;INDEX(tblProjects[LOB],ROWS($C$8:$C64))))),OR($G$3="All",$G$3=$E64)),FALSE)</f>
        <v>0</v>
      </c>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c r="CK64" s="34"/>
      <c r="CL64" s="34"/>
      <c r="CM64" s="34"/>
      <c r="CN64" s="34"/>
      <c r="CO64" s="34"/>
      <c r="CP64" s="34"/>
      <c r="CQ64" s="34"/>
      <c r="CR64" s="34"/>
      <c r="CS64" s="34"/>
      <c r="CT64" s="34"/>
      <c r="CU64" s="34"/>
      <c r="CV64" s="34"/>
    </row>
    <row r="65" spans="3:100" x14ac:dyDescent="0.2">
      <c r="C65" s="34" t="str">
        <f>IFERROR(INDEX(tblProjects[Project Name],ROWS($C$8:$C65)),"")</f>
        <v/>
      </c>
      <c r="D65" s="34" t="str">
        <f>IFERROR(INDEX(tblProjects[POC],ROWS($C$8:$C65)),"")</f>
        <v/>
      </c>
      <c r="E65" s="34" t="str">
        <f>IFERROR(INDEX(tblProjects[Status],ROWS($C$8:$C65)),"")</f>
        <v/>
      </c>
      <c r="F65" s="35" t="str">
        <f>IFERROR(INDEX(tblProjects[Start Date],ROWS($C$8:$C65)),"")</f>
        <v/>
      </c>
      <c r="G65" s="35" t="str">
        <f>IFERROR(INDEX(tblProjects[Due Date],ROWS($C$8:$C65)),"")</f>
        <v/>
      </c>
      <c r="H65" s="36" t="str">
        <f>IFERROR(INDEX(tblProjects[Progress],ROWS($C$8:$C65)),"")</f>
        <v/>
      </c>
      <c r="I65" s="34" t="b">
        <f>IFERROR(AND($C65&lt;&gt;"",OR($D$3="",ISNUMBER(SEARCH($D$3,$C65&amp;"|"&amp;$D65&amp;"|"&amp;INDEX(tblProjects[Developer],ROWS($C$8:$C65))&amp;"|"&amp;INDEX(tblProjects[LOB],ROWS($C$8:$C65))))),OR($G$3="All",$G$3=$E65)),FALSE)</f>
        <v>0</v>
      </c>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c r="CK65" s="34"/>
      <c r="CL65" s="34"/>
      <c r="CM65" s="34"/>
      <c r="CN65" s="34"/>
      <c r="CO65" s="34"/>
      <c r="CP65" s="34"/>
      <c r="CQ65" s="34"/>
      <c r="CR65" s="34"/>
      <c r="CS65" s="34"/>
      <c r="CT65" s="34"/>
      <c r="CU65" s="34"/>
      <c r="CV65" s="34"/>
    </row>
    <row r="66" spans="3:100" x14ac:dyDescent="0.2">
      <c r="C66" s="34" t="str">
        <f>IFERROR(INDEX(tblProjects[Project Name],ROWS($C$8:$C66)),"")</f>
        <v/>
      </c>
      <c r="D66" s="34" t="str">
        <f>IFERROR(INDEX(tblProjects[POC],ROWS($C$8:$C66)),"")</f>
        <v/>
      </c>
      <c r="E66" s="34" t="str">
        <f>IFERROR(INDEX(tblProjects[Status],ROWS($C$8:$C66)),"")</f>
        <v/>
      </c>
      <c r="F66" s="35" t="str">
        <f>IFERROR(INDEX(tblProjects[Start Date],ROWS($C$8:$C66)),"")</f>
        <v/>
      </c>
      <c r="G66" s="35" t="str">
        <f>IFERROR(INDEX(tblProjects[Due Date],ROWS($C$8:$C66)),"")</f>
        <v/>
      </c>
      <c r="H66" s="36" t="str">
        <f>IFERROR(INDEX(tblProjects[Progress],ROWS($C$8:$C66)),"")</f>
        <v/>
      </c>
      <c r="I66" s="34" t="b">
        <f>IFERROR(AND($C66&lt;&gt;"",OR($D$3="",ISNUMBER(SEARCH($D$3,$C66&amp;"|"&amp;$D66&amp;"|"&amp;INDEX(tblProjects[Developer],ROWS($C$8:$C66))&amp;"|"&amp;INDEX(tblProjects[LOB],ROWS($C$8:$C66))))),OR($G$3="All",$G$3=$E66)),FALSE)</f>
        <v>0</v>
      </c>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c r="CK66" s="34"/>
      <c r="CL66" s="34"/>
      <c r="CM66" s="34"/>
      <c r="CN66" s="34"/>
      <c r="CO66" s="34"/>
      <c r="CP66" s="34"/>
      <c r="CQ66" s="34"/>
      <c r="CR66" s="34"/>
      <c r="CS66" s="34"/>
      <c r="CT66" s="34"/>
      <c r="CU66" s="34"/>
      <c r="CV66" s="34"/>
    </row>
    <row r="67" spans="3:100" x14ac:dyDescent="0.2">
      <c r="C67" s="34" t="str">
        <f>IFERROR(INDEX(tblProjects[Project Name],ROWS($C$8:$C67)),"")</f>
        <v/>
      </c>
      <c r="D67" s="34" t="str">
        <f>IFERROR(INDEX(tblProjects[POC],ROWS($C$8:$C67)),"")</f>
        <v/>
      </c>
      <c r="E67" s="34" t="str">
        <f>IFERROR(INDEX(tblProjects[Status],ROWS($C$8:$C67)),"")</f>
        <v/>
      </c>
      <c r="F67" s="35" t="str">
        <f>IFERROR(INDEX(tblProjects[Start Date],ROWS($C$8:$C67)),"")</f>
        <v/>
      </c>
      <c r="G67" s="35" t="str">
        <f>IFERROR(INDEX(tblProjects[Due Date],ROWS($C$8:$C67)),"")</f>
        <v/>
      </c>
      <c r="H67" s="36" t="str">
        <f>IFERROR(INDEX(tblProjects[Progress],ROWS($C$8:$C67)),"")</f>
        <v/>
      </c>
      <c r="I67" s="34" t="b">
        <f>IFERROR(AND($C67&lt;&gt;"",OR($D$3="",ISNUMBER(SEARCH($D$3,$C67&amp;"|"&amp;$D67&amp;"|"&amp;INDEX(tblProjects[Developer],ROWS($C$8:$C67))&amp;"|"&amp;INDEX(tblProjects[LOB],ROWS($C$8:$C67))))),OR($G$3="All",$G$3=$E67)),FALSE)</f>
        <v>0</v>
      </c>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c r="CK67" s="34"/>
      <c r="CL67" s="34"/>
      <c r="CM67" s="34"/>
      <c r="CN67" s="34"/>
      <c r="CO67" s="34"/>
      <c r="CP67" s="34"/>
      <c r="CQ67" s="34"/>
      <c r="CR67" s="34"/>
      <c r="CS67" s="34"/>
      <c r="CT67" s="34"/>
      <c r="CU67" s="34"/>
      <c r="CV67" s="34"/>
    </row>
    <row r="68" spans="3:100" x14ac:dyDescent="0.2">
      <c r="C68" s="34" t="str">
        <f>IFERROR(INDEX(tblProjects[Project Name],ROWS($C$8:$C68)),"")</f>
        <v/>
      </c>
      <c r="D68" s="34" t="str">
        <f>IFERROR(INDEX(tblProjects[POC],ROWS($C$8:$C68)),"")</f>
        <v/>
      </c>
      <c r="E68" s="34" t="str">
        <f>IFERROR(INDEX(tblProjects[Status],ROWS($C$8:$C68)),"")</f>
        <v/>
      </c>
      <c r="F68" s="35" t="str">
        <f>IFERROR(INDEX(tblProjects[Start Date],ROWS($C$8:$C68)),"")</f>
        <v/>
      </c>
      <c r="G68" s="35" t="str">
        <f>IFERROR(INDEX(tblProjects[Due Date],ROWS($C$8:$C68)),"")</f>
        <v/>
      </c>
      <c r="H68" s="36" t="str">
        <f>IFERROR(INDEX(tblProjects[Progress],ROWS($C$8:$C68)),"")</f>
        <v/>
      </c>
      <c r="I68" s="34" t="b">
        <f>IFERROR(AND($C68&lt;&gt;"",OR($D$3="",ISNUMBER(SEARCH($D$3,$C68&amp;"|"&amp;$D68&amp;"|"&amp;INDEX(tblProjects[Developer],ROWS($C$8:$C68))&amp;"|"&amp;INDEX(tblProjects[LOB],ROWS($C$8:$C68))))),OR($G$3="All",$G$3=$E68)),FALSE)</f>
        <v>0</v>
      </c>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c r="CK68" s="34"/>
      <c r="CL68" s="34"/>
      <c r="CM68" s="34"/>
      <c r="CN68" s="34"/>
      <c r="CO68" s="34"/>
      <c r="CP68" s="34"/>
      <c r="CQ68" s="34"/>
      <c r="CR68" s="34"/>
      <c r="CS68" s="34"/>
      <c r="CT68" s="34"/>
      <c r="CU68" s="34"/>
      <c r="CV68" s="34"/>
    </row>
    <row r="69" spans="3:100" x14ac:dyDescent="0.2">
      <c r="C69" s="34" t="str">
        <f>IFERROR(INDEX(tblProjects[Project Name],ROWS($C$8:$C69)),"")</f>
        <v/>
      </c>
      <c r="D69" s="34" t="str">
        <f>IFERROR(INDEX(tblProjects[POC],ROWS($C$8:$C69)),"")</f>
        <v/>
      </c>
      <c r="E69" s="34" t="str">
        <f>IFERROR(INDEX(tblProjects[Status],ROWS($C$8:$C69)),"")</f>
        <v/>
      </c>
      <c r="F69" s="35" t="str">
        <f>IFERROR(INDEX(tblProjects[Start Date],ROWS($C$8:$C69)),"")</f>
        <v/>
      </c>
      <c r="G69" s="35" t="str">
        <f>IFERROR(INDEX(tblProjects[Due Date],ROWS($C$8:$C69)),"")</f>
        <v/>
      </c>
      <c r="H69" s="36" t="str">
        <f>IFERROR(INDEX(tblProjects[Progress],ROWS($C$8:$C69)),"")</f>
        <v/>
      </c>
      <c r="I69" s="34" t="b">
        <f>IFERROR(AND($C69&lt;&gt;"",OR($D$3="",ISNUMBER(SEARCH($D$3,$C69&amp;"|"&amp;$D69&amp;"|"&amp;INDEX(tblProjects[Developer],ROWS($C$8:$C69))&amp;"|"&amp;INDEX(tblProjects[LOB],ROWS($C$8:$C69))))),OR($G$3="All",$G$3=$E69)),FALSE)</f>
        <v>0</v>
      </c>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c r="CK69" s="34"/>
      <c r="CL69" s="34"/>
      <c r="CM69" s="34"/>
      <c r="CN69" s="34"/>
      <c r="CO69" s="34"/>
      <c r="CP69" s="34"/>
      <c r="CQ69" s="34"/>
      <c r="CR69" s="34"/>
      <c r="CS69" s="34"/>
      <c r="CT69" s="34"/>
      <c r="CU69" s="34"/>
      <c r="CV69" s="34"/>
    </row>
    <row r="70" spans="3:100" x14ac:dyDescent="0.2">
      <c r="C70" s="34" t="str">
        <f>IFERROR(INDEX(tblProjects[Project Name],ROWS($C$8:$C70)),"")</f>
        <v/>
      </c>
      <c r="D70" s="34" t="str">
        <f>IFERROR(INDEX(tblProjects[POC],ROWS($C$8:$C70)),"")</f>
        <v/>
      </c>
      <c r="E70" s="34" t="str">
        <f>IFERROR(INDEX(tblProjects[Status],ROWS($C$8:$C70)),"")</f>
        <v/>
      </c>
      <c r="F70" s="35" t="str">
        <f>IFERROR(INDEX(tblProjects[Start Date],ROWS($C$8:$C70)),"")</f>
        <v/>
      </c>
      <c r="G70" s="35" t="str">
        <f>IFERROR(INDEX(tblProjects[Due Date],ROWS($C$8:$C70)),"")</f>
        <v/>
      </c>
      <c r="H70" s="36" t="str">
        <f>IFERROR(INDEX(tblProjects[Progress],ROWS($C$8:$C70)),"")</f>
        <v/>
      </c>
      <c r="I70" s="34" t="b">
        <f>IFERROR(AND($C70&lt;&gt;"",OR($D$3="",ISNUMBER(SEARCH($D$3,$C70&amp;"|"&amp;$D70&amp;"|"&amp;INDEX(tblProjects[Developer],ROWS($C$8:$C70))&amp;"|"&amp;INDEX(tblProjects[LOB],ROWS($C$8:$C70))))),OR($G$3="All",$G$3=$E70)),FALSE)</f>
        <v>0</v>
      </c>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c r="CK70" s="34"/>
      <c r="CL70" s="34"/>
      <c r="CM70" s="34"/>
      <c r="CN70" s="34"/>
      <c r="CO70" s="34"/>
      <c r="CP70" s="34"/>
      <c r="CQ70" s="34"/>
      <c r="CR70" s="34"/>
      <c r="CS70" s="34"/>
      <c r="CT70" s="34"/>
      <c r="CU70" s="34"/>
      <c r="CV70" s="34"/>
    </row>
    <row r="71" spans="3:100" x14ac:dyDescent="0.2">
      <c r="C71" s="34" t="str">
        <f>IFERROR(INDEX(tblProjects[Project Name],ROWS($C$8:$C71)),"")</f>
        <v/>
      </c>
      <c r="D71" s="34" t="str">
        <f>IFERROR(INDEX(tblProjects[POC],ROWS($C$8:$C71)),"")</f>
        <v/>
      </c>
      <c r="E71" s="34" t="str">
        <f>IFERROR(INDEX(tblProjects[Status],ROWS($C$8:$C71)),"")</f>
        <v/>
      </c>
      <c r="F71" s="35" t="str">
        <f>IFERROR(INDEX(tblProjects[Start Date],ROWS($C$8:$C71)),"")</f>
        <v/>
      </c>
      <c r="G71" s="35" t="str">
        <f>IFERROR(INDEX(tblProjects[Due Date],ROWS($C$8:$C71)),"")</f>
        <v/>
      </c>
      <c r="H71" s="36" t="str">
        <f>IFERROR(INDEX(tblProjects[Progress],ROWS($C$8:$C71)),"")</f>
        <v/>
      </c>
      <c r="I71" s="34" t="b">
        <f>IFERROR(AND($C71&lt;&gt;"",OR($D$3="",ISNUMBER(SEARCH($D$3,$C71&amp;"|"&amp;$D71&amp;"|"&amp;INDEX(tblProjects[Developer],ROWS($C$8:$C71))&amp;"|"&amp;INDEX(tblProjects[LOB],ROWS($C$8:$C71))))),OR($G$3="All",$G$3=$E71)),FALSE)</f>
        <v>0</v>
      </c>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c r="CK71" s="34"/>
      <c r="CL71" s="34"/>
      <c r="CM71" s="34"/>
      <c r="CN71" s="34"/>
      <c r="CO71" s="34"/>
      <c r="CP71" s="34"/>
      <c r="CQ71" s="34"/>
      <c r="CR71" s="34"/>
      <c r="CS71" s="34"/>
      <c r="CT71" s="34"/>
      <c r="CU71" s="34"/>
      <c r="CV71" s="34"/>
    </row>
    <row r="72" spans="3:100" x14ac:dyDescent="0.2">
      <c r="C72" s="34" t="str">
        <f>IFERROR(INDEX(tblProjects[Project Name],ROWS($C$8:$C72)),"")</f>
        <v/>
      </c>
      <c r="D72" s="34" t="str">
        <f>IFERROR(INDEX(tblProjects[POC],ROWS($C$8:$C72)),"")</f>
        <v/>
      </c>
      <c r="E72" s="34" t="str">
        <f>IFERROR(INDEX(tblProjects[Status],ROWS($C$8:$C72)),"")</f>
        <v/>
      </c>
      <c r="F72" s="35" t="str">
        <f>IFERROR(INDEX(tblProjects[Start Date],ROWS($C$8:$C72)),"")</f>
        <v/>
      </c>
      <c r="G72" s="35" t="str">
        <f>IFERROR(INDEX(tblProjects[Due Date],ROWS($C$8:$C72)),"")</f>
        <v/>
      </c>
      <c r="H72" s="36" t="str">
        <f>IFERROR(INDEX(tblProjects[Progress],ROWS($C$8:$C72)),"")</f>
        <v/>
      </c>
      <c r="I72" s="34" t="b">
        <f>IFERROR(AND($C72&lt;&gt;"",OR($D$3="",ISNUMBER(SEARCH($D$3,$C72&amp;"|"&amp;$D72&amp;"|"&amp;INDEX(tblProjects[Developer],ROWS($C$8:$C72))&amp;"|"&amp;INDEX(tblProjects[LOB],ROWS($C$8:$C72))))),OR($G$3="All",$G$3=$E72)),FALSE)</f>
        <v>0</v>
      </c>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c r="CK72" s="34"/>
      <c r="CL72" s="34"/>
      <c r="CM72" s="34"/>
      <c r="CN72" s="34"/>
      <c r="CO72" s="34"/>
      <c r="CP72" s="34"/>
      <c r="CQ72" s="34"/>
      <c r="CR72" s="34"/>
      <c r="CS72" s="34"/>
      <c r="CT72" s="34"/>
      <c r="CU72" s="34"/>
      <c r="CV72" s="34"/>
    </row>
    <row r="73" spans="3:100" x14ac:dyDescent="0.2">
      <c r="C73" s="34" t="str">
        <f>IFERROR(INDEX(tblProjects[Project Name],ROWS($C$8:$C73)),"")</f>
        <v/>
      </c>
      <c r="D73" s="34" t="str">
        <f>IFERROR(INDEX(tblProjects[POC],ROWS($C$8:$C73)),"")</f>
        <v/>
      </c>
      <c r="E73" s="34" t="str">
        <f>IFERROR(INDEX(tblProjects[Status],ROWS($C$8:$C73)),"")</f>
        <v/>
      </c>
      <c r="F73" s="35" t="str">
        <f>IFERROR(INDEX(tblProjects[Start Date],ROWS($C$8:$C73)),"")</f>
        <v/>
      </c>
      <c r="G73" s="35" t="str">
        <f>IFERROR(INDEX(tblProjects[Due Date],ROWS($C$8:$C73)),"")</f>
        <v/>
      </c>
      <c r="H73" s="36" t="str">
        <f>IFERROR(INDEX(tblProjects[Progress],ROWS($C$8:$C73)),"")</f>
        <v/>
      </c>
      <c r="I73" s="34" t="b">
        <f>IFERROR(AND($C73&lt;&gt;"",OR($D$3="",ISNUMBER(SEARCH($D$3,$C73&amp;"|"&amp;$D73&amp;"|"&amp;INDEX(tblProjects[Developer],ROWS($C$8:$C73))&amp;"|"&amp;INDEX(tblProjects[LOB],ROWS($C$8:$C73))))),OR($G$3="All",$G$3=$E73)),FALSE)</f>
        <v>0</v>
      </c>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c r="CK73" s="34"/>
      <c r="CL73" s="34"/>
      <c r="CM73" s="34"/>
      <c r="CN73" s="34"/>
      <c r="CO73" s="34"/>
      <c r="CP73" s="34"/>
      <c r="CQ73" s="34"/>
      <c r="CR73" s="34"/>
      <c r="CS73" s="34"/>
      <c r="CT73" s="34"/>
      <c r="CU73" s="34"/>
      <c r="CV73" s="34"/>
    </row>
    <row r="74" spans="3:100" x14ac:dyDescent="0.2">
      <c r="C74" s="34" t="str">
        <f>IFERROR(INDEX(tblProjects[Project Name],ROWS($C$8:$C74)),"")</f>
        <v/>
      </c>
      <c r="D74" s="34" t="str">
        <f>IFERROR(INDEX(tblProjects[POC],ROWS($C$8:$C74)),"")</f>
        <v/>
      </c>
      <c r="E74" s="34" t="str">
        <f>IFERROR(INDEX(tblProjects[Status],ROWS($C$8:$C74)),"")</f>
        <v/>
      </c>
      <c r="F74" s="35" t="str">
        <f>IFERROR(INDEX(tblProjects[Start Date],ROWS($C$8:$C74)),"")</f>
        <v/>
      </c>
      <c r="G74" s="35" t="str">
        <f>IFERROR(INDEX(tblProjects[Due Date],ROWS($C$8:$C74)),"")</f>
        <v/>
      </c>
      <c r="H74" s="36" t="str">
        <f>IFERROR(INDEX(tblProjects[Progress],ROWS($C$8:$C74)),"")</f>
        <v/>
      </c>
      <c r="I74" s="34" t="b">
        <f>IFERROR(AND($C74&lt;&gt;"",OR($D$3="",ISNUMBER(SEARCH($D$3,$C74&amp;"|"&amp;$D74&amp;"|"&amp;INDEX(tblProjects[Developer],ROWS($C$8:$C74))&amp;"|"&amp;INDEX(tblProjects[LOB],ROWS($C$8:$C74))))),OR($G$3="All",$G$3=$E74)),FALSE)</f>
        <v>0</v>
      </c>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c r="CK74" s="34"/>
      <c r="CL74" s="34"/>
      <c r="CM74" s="34"/>
      <c r="CN74" s="34"/>
      <c r="CO74" s="34"/>
      <c r="CP74" s="34"/>
      <c r="CQ74" s="34"/>
      <c r="CR74" s="34"/>
      <c r="CS74" s="34"/>
      <c r="CT74" s="34"/>
      <c r="CU74" s="34"/>
      <c r="CV74" s="34"/>
    </row>
    <row r="75" spans="3:100" x14ac:dyDescent="0.2">
      <c r="C75" s="34" t="str">
        <f>IFERROR(INDEX(tblProjects[Project Name],ROWS($C$8:$C75)),"")</f>
        <v/>
      </c>
      <c r="D75" s="34" t="str">
        <f>IFERROR(INDEX(tblProjects[POC],ROWS($C$8:$C75)),"")</f>
        <v/>
      </c>
      <c r="E75" s="34" t="str">
        <f>IFERROR(INDEX(tblProjects[Status],ROWS($C$8:$C75)),"")</f>
        <v/>
      </c>
      <c r="F75" s="35" t="str">
        <f>IFERROR(INDEX(tblProjects[Start Date],ROWS($C$8:$C75)),"")</f>
        <v/>
      </c>
      <c r="G75" s="35" t="str">
        <f>IFERROR(INDEX(tblProjects[Due Date],ROWS($C$8:$C75)),"")</f>
        <v/>
      </c>
      <c r="H75" s="36" t="str">
        <f>IFERROR(INDEX(tblProjects[Progress],ROWS($C$8:$C75)),"")</f>
        <v/>
      </c>
      <c r="I75" s="34" t="b">
        <f>IFERROR(AND($C75&lt;&gt;"",OR($D$3="",ISNUMBER(SEARCH($D$3,$C75&amp;"|"&amp;$D75&amp;"|"&amp;INDEX(tblProjects[Developer],ROWS($C$8:$C75))&amp;"|"&amp;INDEX(tblProjects[LOB],ROWS($C$8:$C75))))),OR($G$3="All",$G$3=$E75)),FALSE)</f>
        <v>0</v>
      </c>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c r="CK75" s="34"/>
      <c r="CL75" s="34"/>
      <c r="CM75" s="34"/>
      <c r="CN75" s="34"/>
      <c r="CO75" s="34"/>
      <c r="CP75" s="34"/>
      <c r="CQ75" s="34"/>
      <c r="CR75" s="34"/>
      <c r="CS75" s="34"/>
      <c r="CT75" s="34"/>
      <c r="CU75" s="34"/>
      <c r="CV75" s="34"/>
    </row>
    <row r="76" spans="3:100" x14ac:dyDescent="0.2">
      <c r="C76" s="34" t="str">
        <f>IFERROR(INDEX(tblProjects[Project Name],ROWS($C$8:$C76)),"")</f>
        <v/>
      </c>
      <c r="D76" s="34" t="str">
        <f>IFERROR(INDEX(tblProjects[POC],ROWS($C$8:$C76)),"")</f>
        <v/>
      </c>
      <c r="E76" s="34" t="str">
        <f>IFERROR(INDEX(tblProjects[Status],ROWS($C$8:$C76)),"")</f>
        <v/>
      </c>
      <c r="F76" s="35" t="str">
        <f>IFERROR(INDEX(tblProjects[Start Date],ROWS($C$8:$C76)),"")</f>
        <v/>
      </c>
      <c r="G76" s="35" t="str">
        <f>IFERROR(INDEX(tblProjects[Due Date],ROWS($C$8:$C76)),"")</f>
        <v/>
      </c>
      <c r="H76" s="36" t="str">
        <f>IFERROR(INDEX(tblProjects[Progress],ROWS($C$8:$C76)),"")</f>
        <v/>
      </c>
      <c r="I76" s="34" t="b">
        <f>IFERROR(AND($C76&lt;&gt;"",OR($D$3="",ISNUMBER(SEARCH($D$3,$C76&amp;"|"&amp;$D76&amp;"|"&amp;INDEX(tblProjects[Developer],ROWS($C$8:$C76))&amp;"|"&amp;INDEX(tblProjects[LOB],ROWS($C$8:$C76))))),OR($G$3="All",$G$3=$E76)),FALSE)</f>
        <v>0</v>
      </c>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c r="CK76" s="34"/>
      <c r="CL76" s="34"/>
      <c r="CM76" s="34"/>
      <c r="CN76" s="34"/>
      <c r="CO76" s="34"/>
      <c r="CP76" s="34"/>
      <c r="CQ76" s="34"/>
      <c r="CR76" s="34"/>
      <c r="CS76" s="34"/>
      <c r="CT76" s="34"/>
      <c r="CU76" s="34"/>
      <c r="CV76" s="34"/>
    </row>
    <row r="77" spans="3:100" x14ac:dyDescent="0.2">
      <c r="C77" s="34" t="str">
        <f>IFERROR(INDEX(tblProjects[Project Name],ROWS($C$8:$C77)),"")</f>
        <v/>
      </c>
      <c r="D77" s="34" t="str">
        <f>IFERROR(INDEX(tblProjects[POC],ROWS($C$8:$C77)),"")</f>
        <v/>
      </c>
      <c r="E77" s="34" t="str">
        <f>IFERROR(INDEX(tblProjects[Status],ROWS($C$8:$C77)),"")</f>
        <v/>
      </c>
      <c r="F77" s="35" t="str">
        <f>IFERROR(INDEX(tblProjects[Start Date],ROWS($C$8:$C77)),"")</f>
        <v/>
      </c>
      <c r="G77" s="35" t="str">
        <f>IFERROR(INDEX(tblProjects[Due Date],ROWS($C$8:$C77)),"")</f>
        <v/>
      </c>
      <c r="H77" s="36" t="str">
        <f>IFERROR(INDEX(tblProjects[Progress],ROWS($C$8:$C77)),"")</f>
        <v/>
      </c>
      <c r="I77" s="34" t="b">
        <f>IFERROR(AND($C77&lt;&gt;"",OR($D$3="",ISNUMBER(SEARCH($D$3,$C77&amp;"|"&amp;$D77&amp;"|"&amp;INDEX(tblProjects[Developer],ROWS($C$8:$C77))&amp;"|"&amp;INDEX(tblProjects[LOB],ROWS($C$8:$C77))))),OR($G$3="All",$G$3=$E77)),FALSE)</f>
        <v>0</v>
      </c>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c r="CK77" s="34"/>
      <c r="CL77" s="34"/>
      <c r="CM77" s="34"/>
      <c r="CN77" s="34"/>
      <c r="CO77" s="34"/>
      <c r="CP77" s="34"/>
      <c r="CQ77" s="34"/>
      <c r="CR77" s="34"/>
      <c r="CS77" s="34"/>
      <c r="CT77" s="34"/>
      <c r="CU77" s="34"/>
      <c r="CV77" s="34"/>
    </row>
    <row r="78" spans="3:100" x14ac:dyDescent="0.2">
      <c r="C78" s="34" t="str">
        <f>IFERROR(INDEX(tblProjects[Project Name],ROWS($C$8:$C78)),"")</f>
        <v/>
      </c>
      <c r="D78" s="34" t="str">
        <f>IFERROR(INDEX(tblProjects[POC],ROWS($C$8:$C78)),"")</f>
        <v/>
      </c>
      <c r="E78" s="34" t="str">
        <f>IFERROR(INDEX(tblProjects[Status],ROWS($C$8:$C78)),"")</f>
        <v/>
      </c>
      <c r="F78" s="35" t="str">
        <f>IFERROR(INDEX(tblProjects[Start Date],ROWS($C$8:$C78)),"")</f>
        <v/>
      </c>
      <c r="G78" s="35" t="str">
        <f>IFERROR(INDEX(tblProjects[Due Date],ROWS($C$8:$C78)),"")</f>
        <v/>
      </c>
      <c r="H78" s="36" t="str">
        <f>IFERROR(INDEX(tblProjects[Progress],ROWS($C$8:$C78)),"")</f>
        <v/>
      </c>
      <c r="I78" s="34" t="b">
        <f>IFERROR(AND($C78&lt;&gt;"",OR($D$3="",ISNUMBER(SEARCH($D$3,$C78&amp;"|"&amp;$D78&amp;"|"&amp;INDEX(tblProjects[Developer],ROWS($C$8:$C78))&amp;"|"&amp;INDEX(tblProjects[LOB],ROWS($C$8:$C78))))),OR($G$3="All",$G$3=$E78)),FALSE)</f>
        <v>0</v>
      </c>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c r="CK78" s="34"/>
      <c r="CL78" s="34"/>
      <c r="CM78" s="34"/>
      <c r="CN78" s="34"/>
      <c r="CO78" s="34"/>
      <c r="CP78" s="34"/>
      <c r="CQ78" s="34"/>
      <c r="CR78" s="34"/>
      <c r="CS78" s="34"/>
      <c r="CT78" s="34"/>
      <c r="CU78" s="34"/>
      <c r="CV78" s="34"/>
    </row>
    <row r="79" spans="3:100" x14ac:dyDescent="0.2">
      <c r="C79" s="34" t="str">
        <f>IFERROR(INDEX(tblProjects[Project Name],ROWS($C$8:$C79)),"")</f>
        <v/>
      </c>
      <c r="D79" s="34" t="str">
        <f>IFERROR(INDEX(tblProjects[POC],ROWS($C$8:$C79)),"")</f>
        <v/>
      </c>
      <c r="E79" s="34" t="str">
        <f>IFERROR(INDEX(tblProjects[Status],ROWS($C$8:$C79)),"")</f>
        <v/>
      </c>
      <c r="F79" s="35" t="str">
        <f>IFERROR(INDEX(tblProjects[Start Date],ROWS($C$8:$C79)),"")</f>
        <v/>
      </c>
      <c r="G79" s="35" t="str">
        <f>IFERROR(INDEX(tblProjects[Due Date],ROWS($C$8:$C79)),"")</f>
        <v/>
      </c>
      <c r="H79" s="36" t="str">
        <f>IFERROR(INDEX(tblProjects[Progress],ROWS($C$8:$C79)),"")</f>
        <v/>
      </c>
      <c r="I79" s="34" t="b">
        <f>IFERROR(AND($C79&lt;&gt;"",OR($D$3="",ISNUMBER(SEARCH($D$3,$C79&amp;"|"&amp;$D79&amp;"|"&amp;INDEX(tblProjects[Developer],ROWS($C$8:$C79))&amp;"|"&amp;INDEX(tblProjects[LOB],ROWS($C$8:$C79))))),OR($G$3="All",$G$3=$E79)),FALSE)</f>
        <v>0</v>
      </c>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c r="CK79" s="34"/>
      <c r="CL79" s="34"/>
      <c r="CM79" s="34"/>
      <c r="CN79" s="34"/>
      <c r="CO79" s="34"/>
      <c r="CP79" s="34"/>
      <c r="CQ79" s="34"/>
      <c r="CR79" s="34"/>
      <c r="CS79" s="34"/>
      <c r="CT79" s="34"/>
      <c r="CU79" s="34"/>
      <c r="CV79" s="34"/>
    </row>
    <row r="80" spans="3:100" x14ac:dyDescent="0.2">
      <c r="C80" s="34" t="str">
        <f>IFERROR(INDEX(tblProjects[Project Name],ROWS($C$8:$C80)),"")</f>
        <v/>
      </c>
      <c r="D80" s="34" t="str">
        <f>IFERROR(INDEX(tblProjects[POC],ROWS($C$8:$C80)),"")</f>
        <v/>
      </c>
      <c r="E80" s="34" t="str">
        <f>IFERROR(INDEX(tblProjects[Status],ROWS($C$8:$C80)),"")</f>
        <v/>
      </c>
      <c r="F80" s="35" t="str">
        <f>IFERROR(INDEX(tblProjects[Start Date],ROWS($C$8:$C80)),"")</f>
        <v/>
      </c>
      <c r="G80" s="35" t="str">
        <f>IFERROR(INDEX(tblProjects[Due Date],ROWS($C$8:$C80)),"")</f>
        <v/>
      </c>
      <c r="H80" s="36" t="str">
        <f>IFERROR(INDEX(tblProjects[Progress],ROWS($C$8:$C80)),"")</f>
        <v/>
      </c>
      <c r="I80" s="34" t="b">
        <f>IFERROR(AND($C80&lt;&gt;"",OR($D$3="",ISNUMBER(SEARCH($D$3,$C80&amp;"|"&amp;$D80&amp;"|"&amp;INDEX(tblProjects[Developer],ROWS($C$8:$C80))&amp;"|"&amp;INDEX(tblProjects[LOB],ROWS($C$8:$C80))))),OR($G$3="All",$G$3=$E80)),FALSE)</f>
        <v>0</v>
      </c>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c r="CK80" s="34"/>
      <c r="CL80" s="34"/>
      <c r="CM80" s="34"/>
      <c r="CN80" s="34"/>
      <c r="CO80" s="34"/>
      <c r="CP80" s="34"/>
      <c r="CQ80" s="34"/>
      <c r="CR80" s="34"/>
      <c r="CS80" s="34"/>
      <c r="CT80" s="34"/>
      <c r="CU80" s="34"/>
      <c r="CV80" s="34"/>
    </row>
    <row r="81" spans="3:100" x14ac:dyDescent="0.2">
      <c r="C81" s="34" t="str">
        <f>IFERROR(INDEX(tblProjects[Project Name],ROWS($C$8:$C81)),"")</f>
        <v/>
      </c>
      <c r="D81" s="34" t="str">
        <f>IFERROR(INDEX(tblProjects[POC],ROWS($C$8:$C81)),"")</f>
        <v/>
      </c>
      <c r="E81" s="34" t="str">
        <f>IFERROR(INDEX(tblProjects[Status],ROWS($C$8:$C81)),"")</f>
        <v/>
      </c>
      <c r="F81" s="35" t="str">
        <f>IFERROR(INDEX(tblProjects[Start Date],ROWS($C$8:$C81)),"")</f>
        <v/>
      </c>
      <c r="G81" s="35" t="str">
        <f>IFERROR(INDEX(tblProjects[Due Date],ROWS($C$8:$C81)),"")</f>
        <v/>
      </c>
      <c r="H81" s="36" t="str">
        <f>IFERROR(INDEX(tblProjects[Progress],ROWS($C$8:$C81)),"")</f>
        <v/>
      </c>
      <c r="I81" s="34" t="b">
        <f>IFERROR(AND($C81&lt;&gt;"",OR($D$3="",ISNUMBER(SEARCH($D$3,$C81&amp;"|"&amp;$D81&amp;"|"&amp;INDEX(tblProjects[Developer],ROWS($C$8:$C81))&amp;"|"&amp;INDEX(tblProjects[LOB],ROWS($C$8:$C81))))),OR($G$3="All",$G$3=$E81)),FALSE)</f>
        <v>0</v>
      </c>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c r="CK81" s="34"/>
      <c r="CL81" s="34"/>
      <c r="CM81" s="34"/>
      <c r="CN81" s="34"/>
      <c r="CO81" s="34"/>
      <c r="CP81" s="34"/>
      <c r="CQ81" s="34"/>
      <c r="CR81" s="34"/>
      <c r="CS81" s="34"/>
      <c r="CT81" s="34"/>
      <c r="CU81" s="34"/>
      <c r="CV81" s="34"/>
    </row>
    <row r="82" spans="3:100" x14ac:dyDescent="0.2">
      <c r="C82" s="34" t="str">
        <f>IFERROR(INDEX(tblProjects[Project Name],ROWS($C$8:$C82)),"")</f>
        <v/>
      </c>
      <c r="D82" s="34" t="str">
        <f>IFERROR(INDEX(tblProjects[POC],ROWS($C$8:$C82)),"")</f>
        <v/>
      </c>
      <c r="E82" s="34" t="str">
        <f>IFERROR(INDEX(tblProjects[Status],ROWS($C$8:$C82)),"")</f>
        <v/>
      </c>
      <c r="F82" s="35" t="str">
        <f>IFERROR(INDEX(tblProjects[Start Date],ROWS($C$8:$C82)),"")</f>
        <v/>
      </c>
      <c r="G82" s="35" t="str">
        <f>IFERROR(INDEX(tblProjects[Due Date],ROWS($C$8:$C82)),"")</f>
        <v/>
      </c>
      <c r="H82" s="36" t="str">
        <f>IFERROR(INDEX(tblProjects[Progress],ROWS($C$8:$C82)),"")</f>
        <v/>
      </c>
      <c r="I82" s="34" t="b">
        <f>IFERROR(AND($C82&lt;&gt;"",OR($D$3="",ISNUMBER(SEARCH($D$3,$C82&amp;"|"&amp;$D82&amp;"|"&amp;INDEX(tblProjects[Developer],ROWS($C$8:$C82))&amp;"|"&amp;INDEX(tblProjects[LOB],ROWS($C$8:$C82))))),OR($G$3="All",$G$3=$E82)),FALSE)</f>
        <v>0</v>
      </c>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c r="CK82" s="34"/>
      <c r="CL82" s="34"/>
      <c r="CM82" s="34"/>
      <c r="CN82" s="34"/>
      <c r="CO82" s="34"/>
      <c r="CP82" s="34"/>
      <c r="CQ82" s="34"/>
      <c r="CR82" s="34"/>
      <c r="CS82" s="34"/>
      <c r="CT82" s="34"/>
      <c r="CU82" s="34"/>
      <c r="CV82" s="34"/>
    </row>
    <row r="83" spans="3:100" x14ac:dyDescent="0.2">
      <c r="C83" s="34" t="str">
        <f>IFERROR(INDEX(tblProjects[Project Name],ROWS($C$8:$C83)),"")</f>
        <v/>
      </c>
      <c r="D83" s="34" t="str">
        <f>IFERROR(INDEX(tblProjects[POC],ROWS($C$8:$C83)),"")</f>
        <v/>
      </c>
      <c r="E83" s="34" t="str">
        <f>IFERROR(INDEX(tblProjects[Status],ROWS($C$8:$C83)),"")</f>
        <v/>
      </c>
      <c r="F83" s="35" t="str">
        <f>IFERROR(INDEX(tblProjects[Start Date],ROWS($C$8:$C83)),"")</f>
        <v/>
      </c>
      <c r="G83" s="35" t="str">
        <f>IFERROR(INDEX(tblProjects[Due Date],ROWS($C$8:$C83)),"")</f>
        <v/>
      </c>
      <c r="H83" s="36" t="str">
        <f>IFERROR(INDEX(tblProjects[Progress],ROWS($C$8:$C83)),"")</f>
        <v/>
      </c>
      <c r="I83" s="34" t="b">
        <f>IFERROR(AND($C83&lt;&gt;"",OR($D$3="",ISNUMBER(SEARCH($D$3,$C83&amp;"|"&amp;$D83&amp;"|"&amp;INDEX(tblProjects[Developer],ROWS($C$8:$C83))&amp;"|"&amp;INDEX(tblProjects[LOB],ROWS($C$8:$C83))))),OR($G$3="All",$G$3=$E83)),FALSE)</f>
        <v>0</v>
      </c>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c r="CK83" s="34"/>
      <c r="CL83" s="34"/>
      <c r="CM83" s="34"/>
      <c r="CN83" s="34"/>
      <c r="CO83" s="34"/>
      <c r="CP83" s="34"/>
      <c r="CQ83" s="34"/>
      <c r="CR83" s="34"/>
      <c r="CS83" s="34"/>
      <c r="CT83" s="34"/>
      <c r="CU83" s="34"/>
      <c r="CV83" s="34"/>
    </row>
    <row r="84" spans="3:100" x14ac:dyDescent="0.2">
      <c r="C84" s="34" t="str">
        <f>IFERROR(INDEX(tblProjects[Project Name],ROWS($C$8:$C84)),"")</f>
        <v/>
      </c>
      <c r="D84" s="34" t="str">
        <f>IFERROR(INDEX(tblProjects[POC],ROWS($C$8:$C84)),"")</f>
        <v/>
      </c>
      <c r="E84" s="34" t="str">
        <f>IFERROR(INDEX(tblProjects[Status],ROWS($C$8:$C84)),"")</f>
        <v/>
      </c>
      <c r="F84" s="35" t="str">
        <f>IFERROR(INDEX(tblProjects[Start Date],ROWS($C$8:$C84)),"")</f>
        <v/>
      </c>
      <c r="G84" s="35" t="str">
        <f>IFERROR(INDEX(tblProjects[Due Date],ROWS($C$8:$C84)),"")</f>
        <v/>
      </c>
      <c r="H84" s="36" t="str">
        <f>IFERROR(INDEX(tblProjects[Progress],ROWS($C$8:$C84)),"")</f>
        <v/>
      </c>
      <c r="I84" s="34" t="b">
        <f>IFERROR(AND($C84&lt;&gt;"",OR($D$3="",ISNUMBER(SEARCH($D$3,$C84&amp;"|"&amp;$D84&amp;"|"&amp;INDEX(tblProjects[Developer],ROWS($C$8:$C84))&amp;"|"&amp;INDEX(tblProjects[LOB],ROWS($C$8:$C84))))),OR($G$3="All",$G$3=$E84)),FALSE)</f>
        <v>0</v>
      </c>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c r="CK84" s="34"/>
      <c r="CL84" s="34"/>
      <c r="CM84" s="34"/>
      <c r="CN84" s="34"/>
      <c r="CO84" s="34"/>
      <c r="CP84" s="34"/>
      <c r="CQ84" s="34"/>
      <c r="CR84" s="34"/>
      <c r="CS84" s="34"/>
      <c r="CT84" s="34"/>
      <c r="CU84" s="34"/>
      <c r="CV84" s="34"/>
    </row>
    <row r="85" spans="3:100" x14ac:dyDescent="0.2">
      <c r="C85" s="34" t="str">
        <f>IFERROR(INDEX(tblProjects[Project Name],ROWS($C$8:$C85)),"")</f>
        <v/>
      </c>
      <c r="D85" s="34" t="str">
        <f>IFERROR(INDEX(tblProjects[POC],ROWS($C$8:$C85)),"")</f>
        <v/>
      </c>
      <c r="E85" s="34" t="str">
        <f>IFERROR(INDEX(tblProjects[Status],ROWS($C$8:$C85)),"")</f>
        <v/>
      </c>
      <c r="F85" s="35" t="str">
        <f>IFERROR(INDEX(tblProjects[Start Date],ROWS($C$8:$C85)),"")</f>
        <v/>
      </c>
      <c r="G85" s="35" t="str">
        <f>IFERROR(INDEX(tblProjects[Due Date],ROWS($C$8:$C85)),"")</f>
        <v/>
      </c>
      <c r="H85" s="36" t="str">
        <f>IFERROR(INDEX(tblProjects[Progress],ROWS($C$8:$C85)),"")</f>
        <v/>
      </c>
      <c r="I85" s="34" t="b">
        <f>IFERROR(AND($C85&lt;&gt;"",OR($D$3="",ISNUMBER(SEARCH($D$3,$C85&amp;"|"&amp;$D85&amp;"|"&amp;INDEX(tblProjects[Developer],ROWS($C$8:$C85))&amp;"|"&amp;INDEX(tblProjects[LOB],ROWS($C$8:$C85))))),OR($G$3="All",$G$3=$E85)),FALSE)</f>
        <v>0</v>
      </c>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c r="CK85" s="34"/>
      <c r="CL85" s="34"/>
      <c r="CM85" s="34"/>
      <c r="CN85" s="34"/>
      <c r="CO85" s="34"/>
      <c r="CP85" s="34"/>
      <c r="CQ85" s="34"/>
      <c r="CR85" s="34"/>
      <c r="CS85" s="34"/>
      <c r="CT85" s="34"/>
      <c r="CU85" s="34"/>
      <c r="CV85" s="34"/>
    </row>
    <row r="86" spans="3:100" x14ac:dyDescent="0.2">
      <c r="C86" s="34" t="str">
        <f>IFERROR(INDEX(tblProjects[Project Name],ROWS($C$8:$C86)),"")</f>
        <v/>
      </c>
      <c r="D86" s="34" t="str">
        <f>IFERROR(INDEX(tblProjects[POC],ROWS($C$8:$C86)),"")</f>
        <v/>
      </c>
      <c r="E86" s="34" t="str">
        <f>IFERROR(INDEX(tblProjects[Status],ROWS($C$8:$C86)),"")</f>
        <v/>
      </c>
      <c r="F86" s="35" t="str">
        <f>IFERROR(INDEX(tblProjects[Start Date],ROWS($C$8:$C86)),"")</f>
        <v/>
      </c>
      <c r="G86" s="35" t="str">
        <f>IFERROR(INDEX(tblProjects[Due Date],ROWS($C$8:$C86)),"")</f>
        <v/>
      </c>
      <c r="H86" s="36" t="str">
        <f>IFERROR(INDEX(tblProjects[Progress],ROWS($C$8:$C86)),"")</f>
        <v/>
      </c>
      <c r="I86" s="34" t="b">
        <f>IFERROR(AND($C86&lt;&gt;"",OR($D$3="",ISNUMBER(SEARCH($D$3,$C86&amp;"|"&amp;$D86&amp;"|"&amp;INDEX(tblProjects[Developer],ROWS($C$8:$C86))&amp;"|"&amp;INDEX(tblProjects[LOB],ROWS($C$8:$C86))))),OR($G$3="All",$G$3=$E86)),FALSE)</f>
        <v>0</v>
      </c>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c r="CK86" s="34"/>
      <c r="CL86" s="34"/>
      <c r="CM86" s="34"/>
      <c r="CN86" s="34"/>
      <c r="CO86" s="34"/>
      <c r="CP86" s="34"/>
      <c r="CQ86" s="34"/>
      <c r="CR86" s="34"/>
      <c r="CS86" s="34"/>
      <c r="CT86" s="34"/>
      <c r="CU86" s="34"/>
      <c r="CV86" s="34"/>
    </row>
    <row r="87" spans="3:100" x14ac:dyDescent="0.2">
      <c r="C87" s="34" t="str">
        <f>IFERROR(INDEX(tblProjects[Project Name],ROWS($C$8:$C87)),"")</f>
        <v/>
      </c>
      <c r="D87" s="34" t="str">
        <f>IFERROR(INDEX(tblProjects[POC],ROWS($C$8:$C87)),"")</f>
        <v/>
      </c>
      <c r="E87" s="34" t="str">
        <f>IFERROR(INDEX(tblProjects[Status],ROWS($C$8:$C87)),"")</f>
        <v/>
      </c>
      <c r="F87" s="35" t="str">
        <f>IFERROR(INDEX(tblProjects[Start Date],ROWS($C$8:$C87)),"")</f>
        <v/>
      </c>
      <c r="G87" s="35" t="str">
        <f>IFERROR(INDEX(tblProjects[Due Date],ROWS($C$8:$C87)),"")</f>
        <v/>
      </c>
      <c r="H87" s="36" t="str">
        <f>IFERROR(INDEX(tblProjects[Progress],ROWS($C$8:$C87)),"")</f>
        <v/>
      </c>
      <c r="I87" s="34" t="b">
        <f>IFERROR(AND($C87&lt;&gt;"",OR($D$3="",ISNUMBER(SEARCH($D$3,$C87&amp;"|"&amp;$D87&amp;"|"&amp;INDEX(tblProjects[Developer],ROWS($C$8:$C87))&amp;"|"&amp;INDEX(tblProjects[LOB],ROWS($C$8:$C87))))),OR($G$3="All",$G$3=$E87)),FALSE)</f>
        <v>0</v>
      </c>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c r="CK87" s="34"/>
      <c r="CL87" s="34"/>
      <c r="CM87" s="34"/>
      <c r="CN87" s="34"/>
      <c r="CO87" s="34"/>
      <c r="CP87" s="34"/>
      <c r="CQ87" s="34"/>
      <c r="CR87" s="34"/>
      <c r="CS87" s="34"/>
      <c r="CT87" s="34"/>
      <c r="CU87" s="34"/>
      <c r="CV87" s="34"/>
    </row>
    <row r="88" spans="3:100" x14ac:dyDescent="0.2">
      <c r="C88" s="34" t="str">
        <f>IFERROR(INDEX(tblProjects[Project Name],ROWS($C$8:$C88)),"")</f>
        <v/>
      </c>
      <c r="D88" s="34" t="str">
        <f>IFERROR(INDEX(tblProjects[POC],ROWS($C$8:$C88)),"")</f>
        <v/>
      </c>
      <c r="E88" s="34" t="str">
        <f>IFERROR(INDEX(tblProjects[Status],ROWS($C$8:$C88)),"")</f>
        <v/>
      </c>
      <c r="F88" s="35" t="str">
        <f>IFERROR(INDEX(tblProjects[Start Date],ROWS($C$8:$C88)),"")</f>
        <v/>
      </c>
      <c r="G88" s="35" t="str">
        <f>IFERROR(INDEX(tblProjects[Due Date],ROWS($C$8:$C88)),"")</f>
        <v/>
      </c>
      <c r="H88" s="36" t="str">
        <f>IFERROR(INDEX(tblProjects[Progress],ROWS($C$8:$C88)),"")</f>
        <v/>
      </c>
      <c r="I88" s="34" t="b">
        <f>IFERROR(AND($C88&lt;&gt;"",OR($D$3="",ISNUMBER(SEARCH($D$3,$C88&amp;"|"&amp;$D88&amp;"|"&amp;INDEX(tblProjects[Developer],ROWS($C$8:$C88))&amp;"|"&amp;INDEX(tblProjects[LOB],ROWS($C$8:$C88))))),OR($G$3="All",$G$3=$E88)),FALSE)</f>
        <v>0</v>
      </c>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c r="CK88" s="34"/>
      <c r="CL88" s="34"/>
      <c r="CM88" s="34"/>
      <c r="CN88" s="34"/>
      <c r="CO88" s="34"/>
      <c r="CP88" s="34"/>
      <c r="CQ88" s="34"/>
      <c r="CR88" s="34"/>
      <c r="CS88" s="34"/>
      <c r="CT88" s="34"/>
      <c r="CU88" s="34"/>
      <c r="CV88" s="34"/>
    </row>
    <row r="89" spans="3:100" x14ac:dyDescent="0.2">
      <c r="C89" s="34" t="str">
        <f>IFERROR(INDEX(tblProjects[Project Name],ROWS($C$8:$C89)),"")</f>
        <v/>
      </c>
      <c r="D89" s="34" t="str">
        <f>IFERROR(INDEX(tblProjects[POC],ROWS($C$8:$C89)),"")</f>
        <v/>
      </c>
      <c r="E89" s="34" t="str">
        <f>IFERROR(INDEX(tblProjects[Status],ROWS($C$8:$C89)),"")</f>
        <v/>
      </c>
      <c r="F89" s="35" t="str">
        <f>IFERROR(INDEX(tblProjects[Start Date],ROWS($C$8:$C89)),"")</f>
        <v/>
      </c>
      <c r="G89" s="35" t="str">
        <f>IFERROR(INDEX(tblProjects[Due Date],ROWS($C$8:$C89)),"")</f>
        <v/>
      </c>
      <c r="H89" s="36" t="str">
        <f>IFERROR(INDEX(tblProjects[Progress],ROWS($C$8:$C89)),"")</f>
        <v/>
      </c>
      <c r="I89" s="34" t="b">
        <f>IFERROR(AND($C89&lt;&gt;"",OR($D$3="",ISNUMBER(SEARCH($D$3,$C89&amp;"|"&amp;$D89&amp;"|"&amp;INDEX(tblProjects[Developer],ROWS($C$8:$C89))&amp;"|"&amp;INDEX(tblProjects[LOB],ROWS($C$8:$C89))))),OR($G$3="All",$G$3=$E89)),FALSE)</f>
        <v>0</v>
      </c>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c r="CK89" s="34"/>
      <c r="CL89" s="34"/>
      <c r="CM89" s="34"/>
      <c r="CN89" s="34"/>
      <c r="CO89" s="34"/>
      <c r="CP89" s="34"/>
      <c r="CQ89" s="34"/>
      <c r="CR89" s="34"/>
      <c r="CS89" s="34"/>
      <c r="CT89" s="34"/>
      <c r="CU89" s="34"/>
      <c r="CV89" s="34"/>
    </row>
    <row r="90" spans="3:100" x14ac:dyDescent="0.2">
      <c r="C90" s="34" t="str">
        <f>IFERROR(INDEX(tblProjects[Project Name],ROWS($C$8:$C90)),"")</f>
        <v/>
      </c>
      <c r="D90" s="34" t="str">
        <f>IFERROR(INDEX(tblProjects[POC],ROWS($C$8:$C90)),"")</f>
        <v/>
      </c>
      <c r="E90" s="34" t="str">
        <f>IFERROR(INDEX(tblProjects[Status],ROWS($C$8:$C90)),"")</f>
        <v/>
      </c>
      <c r="F90" s="35" t="str">
        <f>IFERROR(INDEX(tblProjects[Start Date],ROWS($C$8:$C90)),"")</f>
        <v/>
      </c>
      <c r="G90" s="35" t="str">
        <f>IFERROR(INDEX(tblProjects[Due Date],ROWS($C$8:$C90)),"")</f>
        <v/>
      </c>
      <c r="H90" s="36" t="str">
        <f>IFERROR(INDEX(tblProjects[Progress],ROWS($C$8:$C90)),"")</f>
        <v/>
      </c>
      <c r="I90" s="34" t="b">
        <f>IFERROR(AND($C90&lt;&gt;"",OR($D$3="",ISNUMBER(SEARCH($D$3,$C90&amp;"|"&amp;$D90&amp;"|"&amp;INDEX(tblProjects[Developer],ROWS($C$8:$C90))&amp;"|"&amp;INDEX(tblProjects[LOB],ROWS($C$8:$C90))))),OR($G$3="All",$G$3=$E90)),FALSE)</f>
        <v>0</v>
      </c>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c r="CK90" s="34"/>
      <c r="CL90" s="34"/>
      <c r="CM90" s="34"/>
      <c r="CN90" s="34"/>
      <c r="CO90" s="34"/>
      <c r="CP90" s="34"/>
      <c r="CQ90" s="34"/>
      <c r="CR90" s="34"/>
      <c r="CS90" s="34"/>
      <c r="CT90" s="34"/>
      <c r="CU90" s="34"/>
      <c r="CV90" s="34"/>
    </row>
    <row r="91" spans="3:100" x14ac:dyDescent="0.2">
      <c r="C91" s="34" t="str">
        <f>IFERROR(INDEX(tblProjects[Project Name],ROWS($C$8:$C91)),"")</f>
        <v/>
      </c>
      <c r="D91" s="34" t="str">
        <f>IFERROR(INDEX(tblProjects[POC],ROWS($C$8:$C91)),"")</f>
        <v/>
      </c>
      <c r="E91" s="34" t="str">
        <f>IFERROR(INDEX(tblProjects[Status],ROWS($C$8:$C91)),"")</f>
        <v/>
      </c>
      <c r="F91" s="35" t="str">
        <f>IFERROR(INDEX(tblProjects[Start Date],ROWS($C$8:$C91)),"")</f>
        <v/>
      </c>
      <c r="G91" s="35" t="str">
        <f>IFERROR(INDEX(tblProjects[Due Date],ROWS($C$8:$C91)),"")</f>
        <v/>
      </c>
      <c r="H91" s="36" t="str">
        <f>IFERROR(INDEX(tblProjects[Progress],ROWS($C$8:$C91)),"")</f>
        <v/>
      </c>
      <c r="I91" s="34" t="b">
        <f>IFERROR(AND($C91&lt;&gt;"",OR($D$3="",ISNUMBER(SEARCH($D$3,$C91&amp;"|"&amp;$D91&amp;"|"&amp;INDEX(tblProjects[Developer],ROWS($C$8:$C91))&amp;"|"&amp;INDEX(tblProjects[LOB],ROWS($C$8:$C91))))),OR($G$3="All",$G$3=$E91)),FALSE)</f>
        <v>0</v>
      </c>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c r="CK91" s="34"/>
      <c r="CL91" s="34"/>
      <c r="CM91" s="34"/>
      <c r="CN91" s="34"/>
      <c r="CO91" s="34"/>
      <c r="CP91" s="34"/>
      <c r="CQ91" s="34"/>
      <c r="CR91" s="34"/>
      <c r="CS91" s="34"/>
      <c r="CT91" s="34"/>
      <c r="CU91" s="34"/>
      <c r="CV91" s="34"/>
    </row>
    <row r="92" spans="3:100" x14ac:dyDescent="0.2">
      <c r="C92" s="34" t="str">
        <f>IFERROR(INDEX(tblProjects[Project Name],ROWS($C$8:$C92)),"")</f>
        <v/>
      </c>
      <c r="D92" s="34" t="str">
        <f>IFERROR(INDEX(tblProjects[POC],ROWS($C$8:$C92)),"")</f>
        <v/>
      </c>
      <c r="E92" s="34" t="str">
        <f>IFERROR(INDEX(tblProjects[Status],ROWS($C$8:$C92)),"")</f>
        <v/>
      </c>
      <c r="F92" s="35" t="str">
        <f>IFERROR(INDEX(tblProjects[Start Date],ROWS($C$8:$C92)),"")</f>
        <v/>
      </c>
      <c r="G92" s="35" t="str">
        <f>IFERROR(INDEX(tblProjects[Due Date],ROWS($C$8:$C92)),"")</f>
        <v/>
      </c>
      <c r="H92" s="36" t="str">
        <f>IFERROR(INDEX(tblProjects[Progress],ROWS($C$8:$C92)),"")</f>
        <v/>
      </c>
      <c r="I92" s="34" t="b">
        <f>IFERROR(AND($C92&lt;&gt;"",OR($D$3="",ISNUMBER(SEARCH($D$3,$C92&amp;"|"&amp;$D92&amp;"|"&amp;INDEX(tblProjects[Developer],ROWS($C$8:$C92))&amp;"|"&amp;INDEX(tblProjects[LOB],ROWS($C$8:$C92))))),OR($G$3="All",$G$3=$E92)),FALSE)</f>
        <v>0</v>
      </c>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c r="CK92" s="34"/>
      <c r="CL92" s="34"/>
      <c r="CM92" s="34"/>
      <c r="CN92" s="34"/>
      <c r="CO92" s="34"/>
      <c r="CP92" s="34"/>
      <c r="CQ92" s="34"/>
      <c r="CR92" s="34"/>
      <c r="CS92" s="34"/>
      <c r="CT92" s="34"/>
      <c r="CU92" s="34"/>
      <c r="CV92" s="34"/>
    </row>
    <row r="93" spans="3:100" x14ac:dyDescent="0.2">
      <c r="C93" s="34" t="str">
        <f>IFERROR(INDEX(tblProjects[Project Name],ROWS($C$8:$C93)),"")</f>
        <v/>
      </c>
      <c r="D93" s="34" t="str">
        <f>IFERROR(INDEX(tblProjects[POC],ROWS($C$8:$C93)),"")</f>
        <v/>
      </c>
      <c r="E93" s="34" t="str">
        <f>IFERROR(INDEX(tblProjects[Status],ROWS($C$8:$C93)),"")</f>
        <v/>
      </c>
      <c r="F93" s="35" t="str">
        <f>IFERROR(INDEX(tblProjects[Start Date],ROWS($C$8:$C93)),"")</f>
        <v/>
      </c>
      <c r="G93" s="35" t="str">
        <f>IFERROR(INDEX(tblProjects[Due Date],ROWS($C$8:$C93)),"")</f>
        <v/>
      </c>
      <c r="H93" s="36" t="str">
        <f>IFERROR(INDEX(tblProjects[Progress],ROWS($C$8:$C93)),"")</f>
        <v/>
      </c>
      <c r="I93" s="34" t="b">
        <f>IFERROR(AND($C93&lt;&gt;"",OR($D$3="",ISNUMBER(SEARCH($D$3,$C93&amp;"|"&amp;$D93&amp;"|"&amp;INDEX(tblProjects[Developer],ROWS($C$8:$C93))&amp;"|"&amp;INDEX(tblProjects[LOB],ROWS($C$8:$C93))))),OR($G$3="All",$G$3=$E93)),FALSE)</f>
        <v>0</v>
      </c>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c r="CK93" s="34"/>
      <c r="CL93" s="34"/>
      <c r="CM93" s="34"/>
      <c r="CN93" s="34"/>
      <c r="CO93" s="34"/>
      <c r="CP93" s="34"/>
      <c r="CQ93" s="34"/>
      <c r="CR93" s="34"/>
      <c r="CS93" s="34"/>
      <c r="CT93" s="34"/>
      <c r="CU93" s="34"/>
      <c r="CV93" s="34"/>
    </row>
    <row r="94" spans="3:100" x14ac:dyDescent="0.2">
      <c r="C94" s="34" t="str">
        <f>IFERROR(INDEX(tblProjects[Project Name],ROWS($C$8:$C94)),"")</f>
        <v/>
      </c>
      <c r="D94" s="34" t="str">
        <f>IFERROR(INDEX(tblProjects[POC],ROWS($C$8:$C94)),"")</f>
        <v/>
      </c>
      <c r="E94" s="34" t="str">
        <f>IFERROR(INDEX(tblProjects[Status],ROWS($C$8:$C94)),"")</f>
        <v/>
      </c>
      <c r="F94" s="35" t="str">
        <f>IFERROR(INDEX(tblProjects[Start Date],ROWS($C$8:$C94)),"")</f>
        <v/>
      </c>
      <c r="G94" s="35" t="str">
        <f>IFERROR(INDEX(tblProjects[Due Date],ROWS($C$8:$C94)),"")</f>
        <v/>
      </c>
      <c r="H94" s="36" t="str">
        <f>IFERROR(INDEX(tblProjects[Progress],ROWS($C$8:$C94)),"")</f>
        <v/>
      </c>
      <c r="I94" s="34" t="b">
        <f>IFERROR(AND($C94&lt;&gt;"",OR($D$3="",ISNUMBER(SEARCH($D$3,$C94&amp;"|"&amp;$D94&amp;"|"&amp;INDEX(tblProjects[Developer],ROWS($C$8:$C94))&amp;"|"&amp;INDEX(tblProjects[LOB],ROWS($C$8:$C94))))),OR($G$3="All",$G$3=$E94)),FALSE)</f>
        <v>0</v>
      </c>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c r="CK94" s="34"/>
      <c r="CL94" s="34"/>
      <c r="CM94" s="34"/>
      <c r="CN94" s="34"/>
      <c r="CO94" s="34"/>
      <c r="CP94" s="34"/>
      <c r="CQ94" s="34"/>
      <c r="CR94" s="34"/>
      <c r="CS94" s="34"/>
      <c r="CT94" s="34"/>
      <c r="CU94" s="34"/>
      <c r="CV94" s="34"/>
    </row>
    <row r="95" spans="3:100" x14ac:dyDescent="0.2">
      <c r="C95" s="34" t="str">
        <f>IFERROR(INDEX(tblProjects[Project Name],ROWS($C$8:$C95)),"")</f>
        <v/>
      </c>
      <c r="D95" s="34" t="str">
        <f>IFERROR(INDEX(tblProjects[POC],ROWS($C$8:$C95)),"")</f>
        <v/>
      </c>
      <c r="E95" s="34" t="str">
        <f>IFERROR(INDEX(tblProjects[Status],ROWS($C$8:$C95)),"")</f>
        <v/>
      </c>
      <c r="F95" s="35" t="str">
        <f>IFERROR(INDEX(tblProjects[Start Date],ROWS($C$8:$C95)),"")</f>
        <v/>
      </c>
      <c r="G95" s="35" t="str">
        <f>IFERROR(INDEX(tblProjects[Due Date],ROWS($C$8:$C95)),"")</f>
        <v/>
      </c>
      <c r="H95" s="36" t="str">
        <f>IFERROR(INDEX(tblProjects[Progress],ROWS($C$8:$C95)),"")</f>
        <v/>
      </c>
      <c r="I95" s="34" t="b">
        <f>IFERROR(AND($C95&lt;&gt;"",OR($D$3="",ISNUMBER(SEARCH($D$3,$C95&amp;"|"&amp;$D95&amp;"|"&amp;INDEX(tblProjects[Developer],ROWS($C$8:$C95))&amp;"|"&amp;INDEX(tblProjects[LOB],ROWS($C$8:$C95))))),OR($G$3="All",$G$3=$E95)),FALSE)</f>
        <v>0</v>
      </c>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c r="CK95" s="34"/>
      <c r="CL95" s="34"/>
      <c r="CM95" s="34"/>
      <c r="CN95" s="34"/>
      <c r="CO95" s="34"/>
      <c r="CP95" s="34"/>
      <c r="CQ95" s="34"/>
      <c r="CR95" s="34"/>
      <c r="CS95" s="34"/>
      <c r="CT95" s="34"/>
      <c r="CU95" s="34"/>
      <c r="CV95" s="34"/>
    </row>
    <row r="96" spans="3:100" x14ac:dyDescent="0.2">
      <c r="C96" s="34" t="str">
        <f>IFERROR(INDEX(tblProjects[Project Name],ROWS($C$8:$C96)),"")</f>
        <v/>
      </c>
      <c r="D96" s="34" t="str">
        <f>IFERROR(INDEX(tblProjects[POC],ROWS($C$8:$C96)),"")</f>
        <v/>
      </c>
      <c r="E96" s="34" t="str">
        <f>IFERROR(INDEX(tblProjects[Status],ROWS($C$8:$C96)),"")</f>
        <v/>
      </c>
      <c r="F96" s="35" t="str">
        <f>IFERROR(INDEX(tblProjects[Start Date],ROWS($C$8:$C96)),"")</f>
        <v/>
      </c>
      <c r="G96" s="35" t="str">
        <f>IFERROR(INDEX(tblProjects[Due Date],ROWS($C$8:$C96)),"")</f>
        <v/>
      </c>
      <c r="H96" s="36" t="str">
        <f>IFERROR(INDEX(tblProjects[Progress],ROWS($C$8:$C96)),"")</f>
        <v/>
      </c>
      <c r="I96" s="34" t="b">
        <f>IFERROR(AND($C96&lt;&gt;"",OR($D$3="",ISNUMBER(SEARCH($D$3,$C96&amp;"|"&amp;$D96&amp;"|"&amp;INDEX(tblProjects[Developer],ROWS($C$8:$C96))&amp;"|"&amp;INDEX(tblProjects[LOB],ROWS($C$8:$C96))))),OR($G$3="All",$G$3=$E96)),FALSE)</f>
        <v>0</v>
      </c>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c r="CK96" s="34"/>
      <c r="CL96" s="34"/>
      <c r="CM96" s="34"/>
      <c r="CN96" s="34"/>
      <c r="CO96" s="34"/>
      <c r="CP96" s="34"/>
      <c r="CQ96" s="34"/>
      <c r="CR96" s="34"/>
      <c r="CS96" s="34"/>
      <c r="CT96" s="34"/>
      <c r="CU96" s="34"/>
      <c r="CV96" s="34"/>
    </row>
    <row r="97" spans="3:100" x14ac:dyDescent="0.2">
      <c r="C97" s="34" t="str">
        <f>IFERROR(INDEX(tblProjects[Project Name],ROWS($C$8:$C97)),"")</f>
        <v/>
      </c>
      <c r="D97" s="34" t="str">
        <f>IFERROR(INDEX(tblProjects[POC],ROWS($C$8:$C97)),"")</f>
        <v/>
      </c>
      <c r="E97" s="34" t="str">
        <f>IFERROR(INDEX(tblProjects[Status],ROWS($C$8:$C97)),"")</f>
        <v/>
      </c>
      <c r="F97" s="35" t="str">
        <f>IFERROR(INDEX(tblProjects[Start Date],ROWS($C$8:$C97)),"")</f>
        <v/>
      </c>
      <c r="G97" s="35" t="str">
        <f>IFERROR(INDEX(tblProjects[Due Date],ROWS($C$8:$C97)),"")</f>
        <v/>
      </c>
      <c r="H97" s="36" t="str">
        <f>IFERROR(INDEX(tblProjects[Progress],ROWS($C$8:$C97)),"")</f>
        <v/>
      </c>
      <c r="I97" s="34" t="b">
        <f>IFERROR(AND($C97&lt;&gt;"",OR($D$3="",ISNUMBER(SEARCH($D$3,$C97&amp;"|"&amp;$D97&amp;"|"&amp;INDEX(tblProjects[Developer],ROWS($C$8:$C97))&amp;"|"&amp;INDEX(tblProjects[LOB],ROWS($C$8:$C97))))),OR($G$3="All",$G$3=$E97)),FALSE)</f>
        <v>0</v>
      </c>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c r="CK97" s="34"/>
      <c r="CL97" s="34"/>
      <c r="CM97" s="34"/>
      <c r="CN97" s="34"/>
      <c r="CO97" s="34"/>
      <c r="CP97" s="34"/>
      <c r="CQ97" s="34"/>
      <c r="CR97" s="34"/>
      <c r="CS97" s="34"/>
      <c r="CT97" s="34"/>
      <c r="CU97" s="34"/>
      <c r="CV97" s="34"/>
    </row>
    <row r="98" spans="3:100" x14ac:dyDescent="0.2">
      <c r="C98" s="34" t="str">
        <f>IFERROR(INDEX(tblProjects[Project Name],ROWS($C$8:$C98)),"")</f>
        <v/>
      </c>
      <c r="D98" s="34" t="str">
        <f>IFERROR(INDEX(tblProjects[POC],ROWS($C$8:$C98)),"")</f>
        <v/>
      </c>
      <c r="E98" s="34" t="str">
        <f>IFERROR(INDEX(tblProjects[Status],ROWS($C$8:$C98)),"")</f>
        <v/>
      </c>
      <c r="F98" s="35" t="str">
        <f>IFERROR(INDEX(tblProjects[Start Date],ROWS($C$8:$C98)),"")</f>
        <v/>
      </c>
      <c r="G98" s="35" t="str">
        <f>IFERROR(INDEX(tblProjects[Due Date],ROWS($C$8:$C98)),"")</f>
        <v/>
      </c>
      <c r="H98" s="36" t="str">
        <f>IFERROR(INDEX(tblProjects[Progress],ROWS($C$8:$C98)),"")</f>
        <v/>
      </c>
      <c r="I98" s="34" t="b">
        <f>IFERROR(AND($C98&lt;&gt;"",OR($D$3="",ISNUMBER(SEARCH($D$3,$C98&amp;"|"&amp;$D98&amp;"|"&amp;INDEX(tblProjects[Developer],ROWS($C$8:$C98))&amp;"|"&amp;INDEX(tblProjects[LOB],ROWS($C$8:$C98))))),OR($G$3="All",$G$3=$E98)),FALSE)</f>
        <v>0</v>
      </c>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c r="CK98" s="34"/>
      <c r="CL98" s="34"/>
      <c r="CM98" s="34"/>
      <c r="CN98" s="34"/>
      <c r="CO98" s="34"/>
      <c r="CP98" s="34"/>
      <c r="CQ98" s="34"/>
      <c r="CR98" s="34"/>
      <c r="CS98" s="34"/>
      <c r="CT98" s="34"/>
      <c r="CU98" s="34"/>
      <c r="CV98" s="34"/>
    </row>
    <row r="99" spans="3:100" x14ac:dyDescent="0.2">
      <c r="C99" s="34" t="str">
        <f>IFERROR(INDEX(tblProjects[Project Name],ROWS($C$8:$C99)),"")</f>
        <v/>
      </c>
      <c r="D99" s="34" t="str">
        <f>IFERROR(INDEX(tblProjects[POC],ROWS($C$8:$C99)),"")</f>
        <v/>
      </c>
      <c r="E99" s="34" t="str">
        <f>IFERROR(INDEX(tblProjects[Status],ROWS($C$8:$C99)),"")</f>
        <v/>
      </c>
      <c r="F99" s="35" t="str">
        <f>IFERROR(INDEX(tblProjects[Start Date],ROWS($C$8:$C99)),"")</f>
        <v/>
      </c>
      <c r="G99" s="35" t="str">
        <f>IFERROR(INDEX(tblProjects[Due Date],ROWS($C$8:$C99)),"")</f>
        <v/>
      </c>
      <c r="H99" s="36" t="str">
        <f>IFERROR(INDEX(tblProjects[Progress],ROWS($C$8:$C99)),"")</f>
        <v/>
      </c>
      <c r="I99" s="34" t="b">
        <f>IFERROR(AND($C99&lt;&gt;"",OR($D$3="",ISNUMBER(SEARCH($D$3,$C99&amp;"|"&amp;$D99&amp;"|"&amp;INDEX(tblProjects[Developer],ROWS($C$8:$C99))&amp;"|"&amp;INDEX(tblProjects[LOB],ROWS($C$8:$C99))))),OR($G$3="All",$G$3=$E99)),FALSE)</f>
        <v>0</v>
      </c>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c r="CK99" s="34"/>
      <c r="CL99" s="34"/>
      <c r="CM99" s="34"/>
      <c r="CN99" s="34"/>
      <c r="CO99" s="34"/>
      <c r="CP99" s="34"/>
      <c r="CQ99" s="34"/>
      <c r="CR99" s="34"/>
      <c r="CS99" s="34"/>
      <c r="CT99" s="34"/>
      <c r="CU99" s="34"/>
      <c r="CV99" s="34"/>
    </row>
    <row r="100" spans="3:100" x14ac:dyDescent="0.2">
      <c r="C100" s="34" t="str">
        <f>IFERROR(INDEX(tblProjects[Project Name],ROWS($C$8:$C100)),"")</f>
        <v/>
      </c>
      <c r="D100" s="34" t="str">
        <f>IFERROR(INDEX(tblProjects[POC],ROWS($C$8:$C100)),"")</f>
        <v/>
      </c>
      <c r="E100" s="34" t="str">
        <f>IFERROR(INDEX(tblProjects[Status],ROWS($C$8:$C100)),"")</f>
        <v/>
      </c>
      <c r="F100" s="35" t="str">
        <f>IFERROR(INDEX(tblProjects[Start Date],ROWS($C$8:$C100)),"")</f>
        <v/>
      </c>
      <c r="G100" s="35" t="str">
        <f>IFERROR(INDEX(tblProjects[Due Date],ROWS($C$8:$C100)),"")</f>
        <v/>
      </c>
      <c r="H100" s="36" t="str">
        <f>IFERROR(INDEX(tblProjects[Progress],ROWS($C$8:$C100)),"")</f>
        <v/>
      </c>
      <c r="I100" s="34" t="b">
        <f>IFERROR(AND($C100&lt;&gt;"",OR($D$3="",ISNUMBER(SEARCH($D$3,$C100&amp;"|"&amp;$D100&amp;"|"&amp;INDEX(tblProjects[Developer],ROWS($C$8:$C100))&amp;"|"&amp;INDEX(tblProjects[LOB],ROWS($C$8:$C100))))),OR($G$3="All",$G$3=$E100)),FALSE)</f>
        <v>0</v>
      </c>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c r="CK100" s="34"/>
      <c r="CL100" s="34"/>
      <c r="CM100" s="34"/>
      <c r="CN100" s="34"/>
      <c r="CO100" s="34"/>
      <c r="CP100" s="34"/>
      <c r="CQ100" s="34"/>
      <c r="CR100" s="34"/>
      <c r="CS100" s="34"/>
      <c r="CT100" s="34"/>
      <c r="CU100" s="34"/>
      <c r="CV100" s="34"/>
    </row>
    <row r="101" spans="3:100" x14ac:dyDescent="0.2">
      <c r="C101" s="34" t="str">
        <f>IFERROR(INDEX(tblProjects[Project Name],ROWS($C$8:$C101)),"")</f>
        <v/>
      </c>
      <c r="D101" s="34" t="str">
        <f>IFERROR(INDEX(tblProjects[POC],ROWS($C$8:$C101)),"")</f>
        <v/>
      </c>
      <c r="E101" s="34" t="str">
        <f>IFERROR(INDEX(tblProjects[Status],ROWS($C$8:$C101)),"")</f>
        <v/>
      </c>
      <c r="F101" s="35" t="str">
        <f>IFERROR(INDEX(tblProjects[Start Date],ROWS($C$8:$C101)),"")</f>
        <v/>
      </c>
      <c r="G101" s="35" t="str">
        <f>IFERROR(INDEX(tblProjects[Due Date],ROWS($C$8:$C101)),"")</f>
        <v/>
      </c>
      <c r="H101" s="36" t="str">
        <f>IFERROR(INDEX(tblProjects[Progress],ROWS($C$8:$C101)),"")</f>
        <v/>
      </c>
      <c r="I101" s="34" t="b">
        <f>IFERROR(AND($C101&lt;&gt;"",OR($D$3="",ISNUMBER(SEARCH($D$3,$C101&amp;"|"&amp;$D101&amp;"|"&amp;INDEX(tblProjects[Developer],ROWS($C$8:$C101))&amp;"|"&amp;INDEX(tblProjects[LOB],ROWS($C$8:$C101))))),OR($G$3="All",$G$3=$E101)),FALSE)</f>
        <v>0</v>
      </c>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c r="CK101" s="34"/>
      <c r="CL101" s="34"/>
      <c r="CM101" s="34"/>
      <c r="CN101" s="34"/>
      <c r="CO101" s="34"/>
      <c r="CP101" s="34"/>
      <c r="CQ101" s="34"/>
      <c r="CR101" s="34"/>
      <c r="CS101" s="34"/>
      <c r="CT101" s="34"/>
      <c r="CU101" s="34"/>
      <c r="CV101" s="34"/>
    </row>
    <row r="102" spans="3:100" x14ac:dyDescent="0.2">
      <c r="C102" s="34" t="str">
        <f>IFERROR(INDEX(tblProjects[Project Name],ROWS($C$8:$C102)),"")</f>
        <v/>
      </c>
      <c r="D102" s="34" t="str">
        <f>IFERROR(INDEX(tblProjects[POC],ROWS($C$8:$C102)),"")</f>
        <v/>
      </c>
      <c r="E102" s="34" t="str">
        <f>IFERROR(INDEX(tblProjects[Status],ROWS($C$8:$C102)),"")</f>
        <v/>
      </c>
      <c r="F102" s="35" t="str">
        <f>IFERROR(INDEX(tblProjects[Start Date],ROWS($C$8:$C102)),"")</f>
        <v/>
      </c>
      <c r="G102" s="35" t="str">
        <f>IFERROR(INDEX(tblProjects[Due Date],ROWS($C$8:$C102)),"")</f>
        <v/>
      </c>
      <c r="H102" s="36" t="str">
        <f>IFERROR(INDEX(tblProjects[Progress],ROWS($C$8:$C102)),"")</f>
        <v/>
      </c>
      <c r="I102" s="34" t="b">
        <f>IFERROR(AND($C102&lt;&gt;"",OR($D$3="",ISNUMBER(SEARCH($D$3,$C102&amp;"|"&amp;$D102&amp;"|"&amp;INDEX(tblProjects[Developer],ROWS($C$8:$C102))&amp;"|"&amp;INDEX(tblProjects[LOB],ROWS($C$8:$C102))))),OR($G$3="All",$G$3=$E102)),FALSE)</f>
        <v>0</v>
      </c>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c r="CK102" s="34"/>
      <c r="CL102" s="34"/>
      <c r="CM102" s="34"/>
      <c r="CN102" s="34"/>
      <c r="CO102" s="34"/>
      <c r="CP102" s="34"/>
      <c r="CQ102" s="34"/>
      <c r="CR102" s="34"/>
      <c r="CS102" s="34"/>
      <c r="CT102" s="34"/>
      <c r="CU102" s="34"/>
      <c r="CV102" s="34"/>
    </row>
    <row r="103" spans="3:100" x14ac:dyDescent="0.2">
      <c r="C103" s="34" t="str">
        <f>IFERROR(INDEX(tblProjects[Project Name],ROWS($C$8:$C103)),"")</f>
        <v/>
      </c>
      <c r="D103" s="34" t="str">
        <f>IFERROR(INDEX(tblProjects[POC],ROWS($C$8:$C103)),"")</f>
        <v/>
      </c>
      <c r="E103" s="34" t="str">
        <f>IFERROR(INDEX(tblProjects[Status],ROWS($C$8:$C103)),"")</f>
        <v/>
      </c>
      <c r="F103" s="35" t="str">
        <f>IFERROR(INDEX(tblProjects[Start Date],ROWS($C$8:$C103)),"")</f>
        <v/>
      </c>
      <c r="G103" s="35" t="str">
        <f>IFERROR(INDEX(tblProjects[Due Date],ROWS($C$8:$C103)),"")</f>
        <v/>
      </c>
      <c r="H103" s="36" t="str">
        <f>IFERROR(INDEX(tblProjects[Progress],ROWS($C$8:$C103)),"")</f>
        <v/>
      </c>
      <c r="I103" s="34" t="b">
        <f>IFERROR(AND($C103&lt;&gt;"",OR($D$3="",ISNUMBER(SEARCH($D$3,$C103&amp;"|"&amp;$D103&amp;"|"&amp;INDEX(tblProjects[Developer],ROWS($C$8:$C103))&amp;"|"&amp;INDEX(tblProjects[LOB],ROWS($C$8:$C103))))),OR($G$3="All",$G$3=$E103)),FALSE)</f>
        <v>0</v>
      </c>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c r="CK103" s="34"/>
      <c r="CL103" s="34"/>
      <c r="CM103" s="34"/>
      <c r="CN103" s="34"/>
      <c r="CO103" s="34"/>
      <c r="CP103" s="34"/>
      <c r="CQ103" s="34"/>
      <c r="CR103" s="34"/>
      <c r="CS103" s="34"/>
      <c r="CT103" s="34"/>
      <c r="CU103" s="34"/>
      <c r="CV103" s="34"/>
    </row>
    <row r="104" spans="3:100" x14ac:dyDescent="0.2">
      <c r="C104" s="34" t="str">
        <f>IFERROR(INDEX(tblProjects[Project Name],ROWS($C$8:$C104)),"")</f>
        <v/>
      </c>
      <c r="D104" s="34" t="str">
        <f>IFERROR(INDEX(tblProjects[POC],ROWS($C$8:$C104)),"")</f>
        <v/>
      </c>
      <c r="E104" s="34" t="str">
        <f>IFERROR(INDEX(tblProjects[Status],ROWS($C$8:$C104)),"")</f>
        <v/>
      </c>
      <c r="F104" s="35" t="str">
        <f>IFERROR(INDEX(tblProjects[Start Date],ROWS($C$8:$C104)),"")</f>
        <v/>
      </c>
      <c r="G104" s="35" t="str">
        <f>IFERROR(INDEX(tblProjects[Due Date],ROWS($C$8:$C104)),"")</f>
        <v/>
      </c>
      <c r="H104" s="36" t="str">
        <f>IFERROR(INDEX(tblProjects[Progress],ROWS($C$8:$C104)),"")</f>
        <v/>
      </c>
      <c r="I104" s="34" t="b">
        <f>IFERROR(AND($C104&lt;&gt;"",OR($D$3="",ISNUMBER(SEARCH($D$3,$C104&amp;"|"&amp;$D104&amp;"|"&amp;INDEX(tblProjects[Developer],ROWS($C$8:$C104))&amp;"|"&amp;INDEX(tblProjects[LOB],ROWS($C$8:$C104))))),OR($G$3="All",$G$3=$E104)),FALSE)</f>
        <v>0</v>
      </c>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c r="CK104" s="34"/>
      <c r="CL104" s="34"/>
      <c r="CM104" s="34"/>
      <c r="CN104" s="34"/>
      <c r="CO104" s="34"/>
      <c r="CP104" s="34"/>
      <c r="CQ104" s="34"/>
      <c r="CR104" s="34"/>
      <c r="CS104" s="34"/>
      <c r="CT104" s="34"/>
      <c r="CU104" s="34"/>
      <c r="CV104" s="34"/>
    </row>
    <row r="105" spans="3:100" x14ac:dyDescent="0.2">
      <c r="C105" s="34" t="str">
        <f>IFERROR(INDEX(tblProjects[Project Name],ROWS($C$8:$C105)),"")</f>
        <v/>
      </c>
      <c r="D105" s="34" t="str">
        <f>IFERROR(INDEX(tblProjects[POC],ROWS($C$8:$C105)),"")</f>
        <v/>
      </c>
      <c r="E105" s="34" t="str">
        <f>IFERROR(INDEX(tblProjects[Status],ROWS($C$8:$C105)),"")</f>
        <v/>
      </c>
      <c r="F105" s="35" t="str">
        <f>IFERROR(INDEX(tblProjects[Start Date],ROWS($C$8:$C105)),"")</f>
        <v/>
      </c>
      <c r="G105" s="35" t="str">
        <f>IFERROR(INDEX(tblProjects[Due Date],ROWS($C$8:$C105)),"")</f>
        <v/>
      </c>
      <c r="H105" s="36" t="str">
        <f>IFERROR(INDEX(tblProjects[Progress],ROWS($C$8:$C105)),"")</f>
        <v/>
      </c>
      <c r="I105" s="34" t="b">
        <f>IFERROR(AND($C105&lt;&gt;"",OR($D$3="",ISNUMBER(SEARCH($D$3,$C105&amp;"|"&amp;$D105&amp;"|"&amp;INDEX(tblProjects[Developer],ROWS($C$8:$C105))&amp;"|"&amp;INDEX(tblProjects[LOB],ROWS($C$8:$C105))))),OR($G$3="All",$G$3=$E105)),FALSE)</f>
        <v>0</v>
      </c>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c r="CK105" s="34"/>
      <c r="CL105" s="34"/>
      <c r="CM105" s="34"/>
      <c r="CN105" s="34"/>
      <c r="CO105" s="34"/>
      <c r="CP105" s="34"/>
      <c r="CQ105" s="34"/>
      <c r="CR105" s="34"/>
      <c r="CS105" s="34"/>
      <c r="CT105" s="34"/>
      <c r="CU105" s="34"/>
      <c r="CV105" s="34"/>
    </row>
    <row r="106" spans="3:100" x14ac:dyDescent="0.2">
      <c r="C106" s="34" t="str">
        <f>IFERROR(INDEX(tblProjects[Project Name],ROWS($C$8:$C106)),"")</f>
        <v/>
      </c>
      <c r="D106" s="34" t="str">
        <f>IFERROR(INDEX(tblProjects[POC],ROWS($C$8:$C106)),"")</f>
        <v/>
      </c>
      <c r="E106" s="34" t="str">
        <f>IFERROR(INDEX(tblProjects[Status],ROWS($C$8:$C106)),"")</f>
        <v/>
      </c>
      <c r="F106" s="35" t="str">
        <f>IFERROR(INDEX(tblProjects[Start Date],ROWS($C$8:$C106)),"")</f>
        <v/>
      </c>
      <c r="G106" s="35" t="str">
        <f>IFERROR(INDEX(tblProjects[Due Date],ROWS($C$8:$C106)),"")</f>
        <v/>
      </c>
      <c r="H106" s="36" t="str">
        <f>IFERROR(INDEX(tblProjects[Progress],ROWS($C$8:$C106)),"")</f>
        <v/>
      </c>
      <c r="I106" s="34" t="b">
        <f>IFERROR(AND($C106&lt;&gt;"",OR($D$3="",ISNUMBER(SEARCH($D$3,$C106&amp;"|"&amp;$D106&amp;"|"&amp;INDEX(tblProjects[Developer],ROWS($C$8:$C106))&amp;"|"&amp;INDEX(tblProjects[LOB],ROWS($C$8:$C106))))),OR($G$3="All",$G$3=$E106)),FALSE)</f>
        <v>0</v>
      </c>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c r="CK106" s="34"/>
      <c r="CL106" s="34"/>
      <c r="CM106" s="34"/>
      <c r="CN106" s="34"/>
      <c r="CO106" s="34"/>
      <c r="CP106" s="34"/>
      <c r="CQ106" s="34"/>
      <c r="CR106" s="34"/>
      <c r="CS106" s="34"/>
      <c r="CT106" s="34"/>
      <c r="CU106" s="34"/>
      <c r="CV106" s="34"/>
    </row>
    <row r="107" spans="3:100" x14ac:dyDescent="0.2">
      <c r="C107" s="34" t="str">
        <f>IFERROR(INDEX(tblProjects[Project Name],ROWS($C$8:$C107)),"")</f>
        <v/>
      </c>
      <c r="D107" s="34" t="str">
        <f>IFERROR(INDEX(tblProjects[POC],ROWS($C$8:$C107)),"")</f>
        <v/>
      </c>
      <c r="E107" s="34" t="str">
        <f>IFERROR(INDEX(tblProjects[Status],ROWS($C$8:$C107)),"")</f>
        <v/>
      </c>
      <c r="F107" s="35" t="str">
        <f>IFERROR(INDEX(tblProjects[Start Date],ROWS($C$8:$C107)),"")</f>
        <v/>
      </c>
      <c r="G107" s="35" t="str">
        <f>IFERROR(INDEX(tblProjects[Due Date],ROWS($C$8:$C107)),"")</f>
        <v/>
      </c>
      <c r="H107" s="36" t="str">
        <f>IFERROR(INDEX(tblProjects[Progress],ROWS($C$8:$C107)),"")</f>
        <v/>
      </c>
      <c r="I107" s="34" t="b">
        <f>IFERROR(AND($C107&lt;&gt;"",OR($D$3="",ISNUMBER(SEARCH($D$3,$C107&amp;"|"&amp;$D107&amp;"|"&amp;INDEX(tblProjects[Developer],ROWS($C$8:$C107))&amp;"|"&amp;INDEX(tblProjects[LOB],ROWS($C$8:$C107))))),OR($G$3="All",$G$3=$E107)),FALSE)</f>
        <v>0</v>
      </c>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c r="CK107" s="34"/>
      <c r="CL107" s="34"/>
      <c r="CM107" s="34"/>
      <c r="CN107" s="34"/>
      <c r="CO107" s="34"/>
      <c r="CP107" s="34"/>
      <c r="CQ107" s="34"/>
      <c r="CR107" s="34"/>
      <c r="CS107" s="34"/>
      <c r="CT107" s="34"/>
      <c r="CU107" s="34"/>
      <c r="CV107" s="34"/>
    </row>
  </sheetData>
  <mergeCells count="13">
    <mergeCell ref="AS6:AY6"/>
    <mergeCell ref="J6:P6"/>
    <mergeCell ref="Q6:W6"/>
    <mergeCell ref="X6:AD6"/>
    <mergeCell ref="AE6:AK6"/>
    <mergeCell ref="AL6:AR6"/>
    <mergeCell ref="CP6:CV6"/>
    <mergeCell ref="AZ6:BF6"/>
    <mergeCell ref="BG6:BM6"/>
    <mergeCell ref="BN6:BT6"/>
    <mergeCell ref="BU6:CA6"/>
    <mergeCell ref="CB6:CH6"/>
    <mergeCell ref="CI6:CO6"/>
  </mergeCells>
  <conditionalFormatting sqref="C8:H107">
    <cfRule type="expression" dxfId="14" priority="11" stopIfTrue="1">
      <formula>AND($C8&lt;&gt;"",NOT($I8))</formula>
    </cfRule>
  </conditionalFormatting>
  <conditionalFormatting sqref="E8:E107">
    <cfRule type="cellIs" dxfId="13" priority="13" stopIfTrue="1" operator="equal">
      <formula>"Completed"</formula>
    </cfRule>
    <cfRule type="cellIs" dxfId="12" priority="14" stopIfTrue="1" operator="equal">
      <formula>"Ongoing"</formula>
    </cfRule>
  </conditionalFormatting>
  <conditionalFormatting sqref="H8:H107">
    <cfRule type="dataBar" priority="12">
      <dataBar>
        <cfvo type="num" val="0"/>
        <cfvo type="num" val="1"/>
        <color rgb="FF10B981"/>
      </dataBar>
      <extLst>
        <ext xmlns:x14="http://schemas.microsoft.com/office/spreadsheetml/2009/9/main" uri="{B025F937-C7B1-47D3-B67F-A62EFF666E3E}">
          <x14:id>{2C8518B6-F299-4ED6-863C-1C3D3CCC91EA}</x14:id>
        </ext>
      </extLst>
    </cfRule>
  </conditionalFormatting>
  <conditionalFormatting sqref="J8:CV107">
    <cfRule type="expression" dxfId="11" priority="2" stopIfTrue="1">
      <formula>AND($I8,J$7&gt;=$F8,J$7&lt;=$G8,J$7&lt;$F8+($G8-$F8+1)*$H8)</formula>
    </cfRule>
    <cfRule type="expression" dxfId="10" priority="4" stopIfTrue="1">
      <formula>AND($I8,J$7&gt;=$F8,J$7&lt;=$G8)</formula>
    </cfRule>
    <cfRule type="expression" dxfId="9" priority="6" stopIfTrue="1">
      <formula>AND($I8,$E8&lt;&gt;"Completed",J$7&gt;$G8,J$7&lt;=TODAY())</formula>
    </cfRule>
    <cfRule type="expression" dxfId="8" priority="8" stopIfTrue="1">
      <formula>J$7=TODAY()</formula>
    </cfRule>
    <cfRule type="expression" dxfId="7" priority="10" stopIfTrue="1">
      <formula>WEEKDAY(J$7,2)&gt;5</formula>
    </cfRule>
  </conditionalFormatting>
  <dataValidations count="1">
    <dataValidation type="list" allowBlank="1" showInputMessage="1" showErrorMessage="1" sqref="G3" xr:uid="{145CC215-0DB6-4970-9C1E-EA538BB84B5D}">
      <formula1>"All,Completed,Ongoing,Not Started,On Hold"</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C8518B6-F299-4ED6-863C-1C3D3CCC91EA}">
            <x14:dataBar minLength="0" maxLength="100" negativeBarColorSameAsPositive="1" axisPosition="none">
              <x14:cfvo type="num">
                <xm:f>0</xm:f>
              </x14:cfvo>
              <x14:cfvo type="num">
                <xm:f>1</xm:f>
              </x14:cfvo>
            </x14:dataBar>
          </x14:cfRule>
          <xm:sqref>H8:H107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AC76A-5A02-4A66-A23D-B4071388CB7A}">
  <dimension ref="A1:AC25"/>
  <sheetViews>
    <sheetView workbookViewId="0"/>
  </sheetViews>
  <sheetFormatPr defaultRowHeight="15" x14ac:dyDescent="0.25"/>
  <cols>
    <col min="1" max="1" width="13.42578125" bestFit="1" customWidth="1"/>
    <col min="2" max="2" width="17.42578125" bestFit="1" customWidth="1"/>
    <col min="3" max="3" width="14.5703125" bestFit="1" customWidth="1"/>
    <col min="4" max="4" width="14.85546875" bestFit="1" customWidth="1"/>
    <col min="5" max="5" width="12.42578125" bestFit="1" customWidth="1"/>
    <col min="9" max="9" width="13.42578125" bestFit="1" customWidth="1"/>
    <col min="10" max="10" width="8.42578125" bestFit="1" customWidth="1"/>
    <col min="13" max="13" width="22.28515625" bestFit="1" customWidth="1"/>
    <col min="14" max="14" width="12.85546875" bestFit="1" customWidth="1"/>
    <col min="17" max="17" width="16.140625" bestFit="1" customWidth="1"/>
    <col min="18" max="18" width="16.85546875" bestFit="1" customWidth="1"/>
    <col min="19" max="19" width="8.42578125" bestFit="1" customWidth="1"/>
    <col min="20" max="20" width="11.28515625" bestFit="1" customWidth="1"/>
    <col min="26" max="26" width="17.7109375" bestFit="1" customWidth="1"/>
    <col min="27" max="27" width="16.85546875" bestFit="1" customWidth="1"/>
    <col min="28" max="28" width="8.42578125" bestFit="1" customWidth="1"/>
    <col min="29" max="29" width="11.28515625" bestFit="1" customWidth="1"/>
  </cols>
  <sheetData>
    <row r="1" spans="1:29" x14ac:dyDescent="0.25">
      <c r="A1" t="s">
        <v>97</v>
      </c>
    </row>
    <row r="3" spans="1:29" x14ac:dyDescent="0.25">
      <c r="A3" t="s">
        <v>58</v>
      </c>
      <c r="B3" t="s">
        <v>59</v>
      </c>
      <c r="C3" t="s">
        <v>60</v>
      </c>
      <c r="D3" t="s">
        <v>61</v>
      </c>
      <c r="E3" t="s">
        <v>62</v>
      </c>
      <c r="I3" s="10" t="s">
        <v>63</v>
      </c>
      <c r="J3" t="s">
        <v>66</v>
      </c>
      <c r="M3" s="10" t="s">
        <v>63</v>
      </c>
      <c r="N3" t="s">
        <v>67</v>
      </c>
      <c r="Q3" s="10" t="s">
        <v>66</v>
      </c>
      <c r="R3" s="10" t="s">
        <v>68</v>
      </c>
      <c r="Z3" s="10" t="s">
        <v>66</v>
      </c>
      <c r="AA3" s="10" t="s">
        <v>68</v>
      </c>
    </row>
    <row r="4" spans="1:29" x14ac:dyDescent="0.25">
      <c r="A4" s="41">
        <v>9</v>
      </c>
      <c r="B4" s="41">
        <v>4</v>
      </c>
      <c r="C4" s="41">
        <v>5</v>
      </c>
      <c r="D4" s="41">
        <v>5</v>
      </c>
      <c r="E4" s="6">
        <v>0.86111111111111116</v>
      </c>
      <c r="I4" s="11" t="s">
        <v>18</v>
      </c>
      <c r="J4" s="41">
        <v>4</v>
      </c>
      <c r="M4" s="11" t="s">
        <v>32</v>
      </c>
      <c r="N4" s="6">
        <v>1</v>
      </c>
      <c r="Q4" s="10" t="s">
        <v>63</v>
      </c>
      <c r="R4" t="s">
        <v>18</v>
      </c>
      <c r="S4" t="s">
        <v>30</v>
      </c>
      <c r="T4" t="s">
        <v>65</v>
      </c>
      <c r="Z4" s="10" t="s">
        <v>63</v>
      </c>
      <c r="AA4" t="s">
        <v>18</v>
      </c>
      <c r="AB4" t="s">
        <v>30</v>
      </c>
      <c r="AC4" t="s">
        <v>65</v>
      </c>
    </row>
    <row r="5" spans="1:29" x14ac:dyDescent="0.25">
      <c r="I5" s="11" t="s">
        <v>64</v>
      </c>
      <c r="J5" s="41">
        <v>5</v>
      </c>
      <c r="M5" s="11" t="s">
        <v>38</v>
      </c>
      <c r="N5" s="6">
        <v>1</v>
      </c>
      <c r="Q5" s="11" t="s">
        <v>37</v>
      </c>
      <c r="R5" s="41">
        <v>2</v>
      </c>
      <c r="S5" s="41"/>
      <c r="T5" s="41">
        <v>2</v>
      </c>
      <c r="Z5" s="11" t="s">
        <v>24</v>
      </c>
      <c r="AA5" s="41">
        <v>1</v>
      </c>
      <c r="AB5" s="41"/>
      <c r="AC5" s="41">
        <v>1</v>
      </c>
    </row>
    <row r="6" spans="1:29" x14ac:dyDescent="0.25">
      <c r="I6" s="11" t="s">
        <v>65</v>
      </c>
      <c r="J6" s="41">
        <v>9</v>
      </c>
      <c r="M6" s="11" t="s">
        <v>20</v>
      </c>
      <c r="N6" s="6">
        <v>0.75</v>
      </c>
      <c r="Q6" s="11" t="s">
        <v>47</v>
      </c>
      <c r="R6" s="41"/>
      <c r="S6" s="41">
        <v>2</v>
      </c>
      <c r="T6" s="41">
        <v>2</v>
      </c>
      <c r="Z6" s="11" t="s">
        <v>15</v>
      </c>
      <c r="AA6" s="41">
        <v>1</v>
      </c>
      <c r="AB6" s="41">
        <v>3</v>
      </c>
      <c r="AC6" s="41">
        <v>4</v>
      </c>
    </row>
    <row r="7" spans="1:29" x14ac:dyDescent="0.25">
      <c r="M7" s="11" t="s">
        <v>42</v>
      </c>
      <c r="N7" s="6">
        <v>0.875</v>
      </c>
      <c r="Q7" s="11" t="s">
        <v>17</v>
      </c>
      <c r="R7" s="41">
        <v>2</v>
      </c>
      <c r="S7" s="41">
        <v>3</v>
      </c>
      <c r="T7" s="41">
        <v>5</v>
      </c>
      <c r="Z7" s="11" t="s">
        <v>49</v>
      </c>
      <c r="AA7" s="41"/>
      <c r="AB7" s="41">
        <v>1</v>
      </c>
      <c r="AC7" s="41">
        <v>1</v>
      </c>
    </row>
    <row r="8" spans="1:29" x14ac:dyDescent="0.25">
      <c r="M8" s="11" t="s">
        <v>26</v>
      </c>
      <c r="N8" s="6">
        <v>1</v>
      </c>
      <c r="Q8" s="11" t="s">
        <v>65</v>
      </c>
      <c r="R8" s="41">
        <v>4</v>
      </c>
      <c r="S8" s="41">
        <v>5</v>
      </c>
      <c r="T8" s="41">
        <v>9</v>
      </c>
      <c r="Z8" s="11" t="s">
        <v>35</v>
      </c>
      <c r="AA8" s="41">
        <v>1</v>
      </c>
      <c r="AB8" s="41"/>
      <c r="AC8" s="41">
        <v>1</v>
      </c>
    </row>
    <row r="9" spans="1:29" x14ac:dyDescent="0.25">
      <c r="M9" s="11" t="s">
        <v>65</v>
      </c>
      <c r="N9" s="6">
        <v>0.86111111111111116</v>
      </c>
      <c r="Z9" s="11" t="s">
        <v>40</v>
      </c>
      <c r="AA9" s="41">
        <v>1</v>
      </c>
      <c r="AB9" s="41"/>
      <c r="AC9" s="41">
        <v>1</v>
      </c>
    </row>
    <row r="10" spans="1:29" x14ac:dyDescent="0.25">
      <c r="Z10" s="11" t="s">
        <v>46</v>
      </c>
      <c r="AA10" s="41"/>
      <c r="AB10" s="41">
        <v>1</v>
      </c>
      <c r="AC10" s="41">
        <v>1</v>
      </c>
    </row>
    <row r="11" spans="1:29" x14ac:dyDescent="0.25">
      <c r="Z11" s="11" t="s">
        <v>65</v>
      </c>
      <c r="AA11" s="41">
        <v>4</v>
      </c>
      <c r="AB11" s="41">
        <v>5</v>
      </c>
      <c r="AC11" s="41">
        <v>9</v>
      </c>
    </row>
    <row r="19" spans="1:7" x14ac:dyDescent="0.25">
      <c r="A19" t="s">
        <v>70</v>
      </c>
    </row>
    <row r="20" spans="1:7" x14ac:dyDescent="0.25">
      <c r="A20" t="s">
        <v>71</v>
      </c>
      <c r="B20" s="18">
        <f>IFERROR(GETPIVOTDATA("Total Projects",PivotData!$A$3),0)</f>
        <v>9</v>
      </c>
    </row>
    <row r="21" spans="1:7" x14ac:dyDescent="0.25">
      <c r="A21" t="s">
        <v>72</v>
      </c>
      <c r="B21" s="18">
        <f>IFERROR(GETPIVOTDATA("Completed Count",PivotData!$A$3),0)</f>
        <v>4</v>
      </c>
    </row>
    <row r="22" spans="1:7" x14ac:dyDescent="0.25">
      <c r="A22" t="s">
        <v>73</v>
      </c>
      <c r="B22" s="18">
        <f>IFERROR(GETPIVOTDATA("Ongoing Count",PivotData!$A$3),0)</f>
        <v>5</v>
      </c>
    </row>
    <row r="23" spans="1:7" x14ac:dyDescent="0.25">
      <c r="A23" t="s">
        <v>74</v>
      </c>
      <c r="B23" s="18">
        <f>IFERROR(GETPIVOTDATA("Overdue Count",PivotData!$A$3),0)</f>
        <v>5</v>
      </c>
    </row>
    <row r="24" spans="1:7" x14ac:dyDescent="0.25">
      <c r="A24" t="s">
        <v>75</v>
      </c>
      <c r="B24" s="6">
        <f>IFERROR(GETPIVOTDATA("Avg Progress",PivotData!$A$3),0)</f>
        <v>0.86111111111111116</v>
      </c>
      <c r="C24">
        <f>MIN(1,MAX(0,B24))*0.75</f>
        <v>0.64583333333333337</v>
      </c>
      <c r="D24">
        <f>0.75-C24</f>
        <v>0.10416666666666663</v>
      </c>
      <c r="E24">
        <v>0.25</v>
      </c>
      <c r="G24" t="str">
        <f>"across "&amp;B20&amp;" project"&amp;IF(B20=1,"","s")</f>
        <v>across 9 projects</v>
      </c>
    </row>
    <row r="25" spans="1:7" x14ac:dyDescent="0.25">
      <c r="A25" t="s">
        <v>76</v>
      </c>
      <c r="B25" s="6">
        <f>IFERROR(GETPIVOTDATA("Completed Count",PivotData!$A$3)/GETPIVOTDATA("Total Projects",PivotData!$A$3),0)</f>
        <v>0.44444444444444442</v>
      </c>
      <c r="C25" s="6">
        <f>MIN(1,MAX(0,B25))</f>
        <v>0.44444444444444442</v>
      </c>
      <c r="D25" s="6">
        <f>1-C25</f>
        <v>0.55555555555555558</v>
      </c>
      <c r="G25" t="str">
        <f>B21&amp;" of "&amp;B20&amp;" projects completed"</f>
        <v>4 of 9 projects completed</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B1C6D-F84F-4F45-BB05-FCF2E6900947}">
  <dimension ref="A1:F7"/>
  <sheetViews>
    <sheetView workbookViewId="0"/>
  </sheetViews>
  <sheetFormatPr defaultRowHeight="15" x14ac:dyDescent="0.25"/>
  <sheetData>
    <row r="1" spans="1:6" s="38" customFormat="1" x14ac:dyDescent="0.25">
      <c r="A1" s="38" t="s">
        <v>3</v>
      </c>
      <c r="B1" s="38" t="s">
        <v>5</v>
      </c>
      <c r="C1" s="38" t="s">
        <v>6</v>
      </c>
      <c r="D1" s="38" t="s">
        <v>7</v>
      </c>
      <c r="E1" s="38" t="s">
        <v>8</v>
      </c>
      <c r="F1" s="38" t="s">
        <v>11</v>
      </c>
    </row>
    <row r="2" spans="1:6" x14ac:dyDescent="0.25">
      <c r="A2" t="s">
        <v>24</v>
      </c>
      <c r="B2" t="s">
        <v>37</v>
      </c>
      <c r="C2" t="s">
        <v>92</v>
      </c>
      <c r="D2" t="s">
        <v>19</v>
      </c>
      <c r="E2" t="s">
        <v>32</v>
      </c>
      <c r="F2" t="s">
        <v>21</v>
      </c>
    </row>
    <row r="3" spans="1:6" x14ac:dyDescent="0.25">
      <c r="A3" t="s">
        <v>15</v>
      </c>
      <c r="B3" t="s">
        <v>47</v>
      </c>
      <c r="C3" t="s">
        <v>30</v>
      </c>
      <c r="D3" t="s">
        <v>31</v>
      </c>
      <c r="E3" t="s">
        <v>38</v>
      </c>
      <c r="F3" t="s">
        <v>43</v>
      </c>
    </row>
    <row r="4" spans="1:6" x14ac:dyDescent="0.25">
      <c r="A4" t="s">
        <v>49</v>
      </c>
      <c r="B4" t="s">
        <v>17</v>
      </c>
      <c r="C4" t="s">
        <v>18</v>
      </c>
      <c r="D4" t="s">
        <v>94</v>
      </c>
      <c r="E4" t="s">
        <v>20</v>
      </c>
      <c r="F4" t="s">
        <v>95</v>
      </c>
    </row>
    <row r="5" spans="1:6" x14ac:dyDescent="0.25">
      <c r="A5" t="s">
        <v>35</v>
      </c>
      <c r="C5" t="s">
        <v>93</v>
      </c>
      <c r="E5" t="s">
        <v>42</v>
      </c>
      <c r="F5" t="s">
        <v>96</v>
      </c>
    </row>
    <row r="6" spans="1:6" x14ac:dyDescent="0.25">
      <c r="A6" t="s">
        <v>40</v>
      </c>
      <c r="E6" t="s">
        <v>26</v>
      </c>
    </row>
    <row r="7" spans="1:6" x14ac:dyDescent="0.25">
      <c r="A7" t="s">
        <v>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0E0BFD8EF36A4EA3D293CFF536A98D" ma:contentTypeVersion="12" ma:contentTypeDescription="Create a new document." ma:contentTypeScope="" ma:versionID="239e6c01e123ea619d939a0df6f940a1">
  <xsd:schema xmlns:xsd="http://www.w3.org/2001/XMLSchema" xmlns:xs="http://www.w3.org/2001/XMLSchema" xmlns:p="http://schemas.microsoft.com/office/2006/metadata/properties" xmlns:ns2="881dd7ee-834b-42be-bb57-50dfa3c8941d" xmlns:ns3="79e20722-a95c-4d7e-aceb-7b94e3d4fe56" targetNamespace="http://schemas.microsoft.com/office/2006/metadata/properties" ma:root="true" ma:fieldsID="68f7c22961963bb0e3dfd74195990a94" ns2:_="" ns3:_="">
    <xsd:import namespace="881dd7ee-834b-42be-bb57-50dfa3c8941d"/>
    <xsd:import namespace="79e20722-a95c-4d7e-aceb-7b94e3d4fe5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kwizcomcontrollerfield"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1dd7ee-834b-42be-bb57-50dfa3c89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kwizcomcontrollerfield" ma:index="15" nillable="true" ma:displayName="kwizcomcontrollerfield" ma:internalName="kwizcomcontrollerfield">
      <xsd:simpleType>
        <xsd:restriction base="dms:Text"/>
      </xsd:simpleType>
    </xsd:element>
    <xsd:element name="lcf76f155ced4ddcb4097134ff3c332f" ma:index="17" nillable="true" ma:taxonomy="true" ma:internalName="lcf76f155ced4ddcb4097134ff3c332f" ma:taxonomyFieldName="MediaServiceImageTags" ma:displayName="Image Tags" ma:fieldId="{5cf76f15-5ced-4ddc-b409-7134ff3c332f}" ma:taxonomyMulti="true"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9e20722-a95c-4d7e-aceb-7b94e3d4fe5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50d4e36-6b4c-45a2-b495-98e263cd31de}" ma:internalName="TaxCatchAll" ma:showField="CatchAllData" ma:web="79e20722-a95c-4d7e-aceb-7b94e3d4f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kwizcomcontrollerfield xmlns="881dd7ee-834b-42be-bb57-50dfa3c8941d" xsi:nil="true"/>
    <lcf76f155ced4ddcb4097134ff3c332f xmlns="881dd7ee-834b-42be-bb57-50dfa3c8941d">
      <Terms xmlns="http://schemas.microsoft.com/office/infopath/2007/PartnerControls"/>
    </lcf76f155ced4ddcb4097134ff3c332f>
    <TaxCatchAll xmlns="79e20722-a95c-4d7e-aceb-7b94e3d4fe56" xsi:nil="true"/>
  </documentManagement>
</p:properties>
</file>

<file path=customXml/itemProps1.xml><?xml version="1.0" encoding="utf-8"?>
<ds:datastoreItem xmlns:ds="http://schemas.openxmlformats.org/officeDocument/2006/customXml" ds:itemID="{FE231503-83EA-444E-9195-AB4B07C31CD8}"/>
</file>

<file path=customXml/itemProps2.xml><?xml version="1.0" encoding="utf-8"?>
<ds:datastoreItem xmlns:ds="http://schemas.openxmlformats.org/officeDocument/2006/customXml" ds:itemID="{15E0ACC7-45DC-40BE-B122-ADD96D008714}"/>
</file>

<file path=customXml/itemProps3.xml><?xml version="1.0" encoding="utf-8"?>
<ds:datastoreItem xmlns:ds="http://schemas.openxmlformats.org/officeDocument/2006/customXml" ds:itemID="{BEB3126E-D0D3-4D35-8C6A-26287E8FD57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Projects</vt:lpstr>
      <vt:lpstr>Timeline</vt:lpstr>
      <vt:lpstr>PivotData</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Caubalejo, John Eric</dc:creator>
  <cp:lastModifiedBy>Caubalejo, John Eric</cp:lastModifiedBy>
  <dcterms:created xsi:type="dcterms:W3CDTF">2026-10-23T08:02:44Z</dcterms:created>
  <dcterms:modified xsi:type="dcterms:W3CDTF">2026-10-23T08:10:00Z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0x010100A70E0BFD8EF36A4EA3D293CFF536A98D</vt:lpwstr>
  </property>
</Properties>
</file>